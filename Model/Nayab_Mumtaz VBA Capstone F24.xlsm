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0" codeName="{2D6B2E9A-1A31-A8AD-A733-73C221103EE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ayabmumtaz/Desktop/"/>
    </mc:Choice>
  </mc:AlternateContent>
  <xr:revisionPtr revIDLastSave="0" documentId="13_ncr:1_{3CB9CC6B-84A2-D64C-8238-7D1A84958525}" xr6:coauthVersionLast="47" xr6:coauthVersionMax="47" xr10:uidLastSave="{00000000-0000-0000-0000-000000000000}"/>
  <bookViews>
    <workbookView xWindow="0" yWindow="740" windowWidth="29400" windowHeight="17040" tabRatio="599" activeTab="1" xr2:uid="{00000000-000D-0000-FFFF-FFFF00000000}"/>
  </bookViews>
  <sheets>
    <sheet name="Report" sheetId="10" state="hidden" r:id="rId1"/>
    <sheet name="Introduction" sheetId="13" r:id="rId2"/>
    <sheet name="Inputs" sheetId="11" state="hidden" r:id="rId3"/>
    <sheet name="Pharma" sheetId="1" state="hidden" r:id="rId4"/>
    <sheet name="Outputs" sheetId="12" state="hidden" r:id="rId5"/>
  </sheets>
  <externalReferences>
    <externalReference r:id="rId6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CorrelationEnabledState" hidden="1">1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1</definedName>
    <definedName name="_AtRisk_SimSetting_StdRecalcWithoutRiskStaticPercentile" hidden="1">0.5</definedName>
    <definedName name="_xleta.AND" hidden="1" xlm="1">#NAME?</definedName>
    <definedName name="IDField">#REF!</definedName>
    <definedName name="Limit">[1]MultiB!$D$21</definedName>
    <definedName name="MajorsReqd">[1]IntegerB!$D$20:$D$22</definedName>
    <definedName name="MaxWater">[1]MultiA!$D$13</definedName>
    <definedName name="Namefield">#REF!</definedName>
    <definedName name="Pal_Workbook_GUID" hidden="1">"P1WAEEDTV864QQMGLZI4ED78"</definedName>
    <definedName name="Pal_Workbook_Guide" hidden="1">"JTI6E2TI2VXFFVKQ9D6NDYE7"</definedName>
    <definedName name="PrereqRHS">[1]IntegerB!$D$14:$D$16</definedName>
    <definedName name="_xlnm.Print_Area" localSheetId="4">Outputs!$C$17:$K$26,Outputs!$C$41:$K$94</definedName>
    <definedName name="Reqd">[1]MultiA!$H$9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</definedName>
    <definedName name="RiskNumSimulations" hidden="1">6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olver_ver">1.3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8" i="1" l="1"/>
  <c r="B37" i="1"/>
  <c r="E43" i="1" s="1"/>
  <c r="B35" i="1"/>
  <c r="B34" i="1"/>
  <c r="B11" i="1"/>
  <c r="B10" i="1"/>
  <c r="B9" i="1"/>
  <c r="B8" i="1"/>
  <c r="B7" i="1"/>
  <c r="B5" i="1"/>
  <c r="B4" i="1"/>
  <c r="H20" i="12"/>
  <c r="H21" i="12"/>
  <c r="H22" i="12"/>
  <c r="H23" i="12"/>
  <c r="H24" i="12"/>
  <c r="H25" i="12"/>
  <c r="H19" i="12"/>
  <c r="G20" i="12"/>
  <c r="G21" i="12"/>
  <c r="G22" i="12"/>
  <c r="G23" i="12"/>
  <c r="G24" i="12"/>
  <c r="G25" i="12"/>
  <c r="G19" i="12"/>
  <c r="F20" i="12"/>
  <c r="F21" i="12"/>
  <c r="F22" i="12"/>
  <c r="F23" i="12"/>
  <c r="F24" i="12"/>
  <c r="F25" i="12"/>
  <c r="F19" i="12"/>
  <c r="E20" i="12"/>
  <c r="E21" i="12"/>
  <c r="E22" i="12"/>
  <c r="E23" i="12"/>
  <c r="E24" i="12"/>
  <c r="E25" i="12"/>
  <c r="E19" i="12"/>
  <c r="J43" i="1" l="1"/>
  <c r="I19" i="12" s="1"/>
  <c r="J49" i="1"/>
  <c r="I25" i="12" s="1"/>
  <c r="J48" i="1"/>
  <c r="I24" i="12" s="1"/>
  <c r="J47" i="1"/>
  <c r="I23" i="12" s="1"/>
  <c r="J46" i="1"/>
  <c r="K46" i="1" s="1"/>
  <c r="J22" i="12" s="1"/>
  <c r="J45" i="1"/>
  <c r="K45" i="1" s="1"/>
  <c r="J21" i="12" s="1"/>
  <c r="J44" i="1"/>
  <c r="K44" i="1" s="1"/>
  <c r="J20" i="12" s="1"/>
  <c r="D19" i="12"/>
  <c r="L43" i="1" l="1"/>
  <c r="K43" i="1"/>
  <c r="J19" i="12" s="1"/>
  <c r="K48" i="1"/>
  <c r="J24" i="12" s="1"/>
  <c r="K49" i="1"/>
  <c r="J25" i="12" s="1"/>
  <c r="K47" i="1"/>
  <c r="J23" i="12" s="1"/>
  <c r="I22" i="12"/>
  <c r="I20" i="12"/>
  <c r="I21" i="12"/>
  <c r="B39" i="1"/>
  <c r="E44" i="1" s="1"/>
  <c r="E45" i="1" s="1"/>
  <c r="E46" i="1" s="1"/>
  <c r="E47" i="1" s="1"/>
  <c r="E48" i="1" s="1"/>
  <c r="E49" i="1" s="1"/>
  <c r="F9" i="10"/>
  <c r="F10" i="10"/>
  <c r="F11" i="10"/>
  <c r="F8" i="10"/>
  <c r="D22" i="10" s="1"/>
  <c r="E9" i="10"/>
  <c r="E10" i="10"/>
  <c r="E11" i="10"/>
  <c r="E8" i="10"/>
  <c r="D21" i="10" s="1"/>
  <c r="D9" i="10"/>
  <c r="D10" i="10"/>
  <c r="D11" i="10"/>
  <c r="D8" i="10"/>
  <c r="D20" i="10" s="1"/>
  <c r="C9" i="10"/>
  <c r="C10" i="10"/>
  <c r="C11" i="10"/>
  <c r="C8" i="10"/>
  <c r="D19" i="10" s="1"/>
  <c r="D20" i="12" l="1"/>
  <c r="L46" i="1"/>
  <c r="K22" i="12" s="1"/>
  <c r="L47" i="1"/>
  <c r="K23" i="12" s="1"/>
  <c r="L48" i="1"/>
  <c r="K24" i="12" s="1"/>
  <c r="K19" i="12"/>
  <c r="L44" i="1"/>
  <c r="K20" i="12" s="1"/>
  <c r="L49" i="1"/>
  <c r="K25" i="12" s="1"/>
  <c r="L45" i="1"/>
  <c r="K21" i="12" s="1"/>
  <c r="C22" i="1"/>
  <c r="D21" i="12" l="1"/>
  <c r="F22" i="1"/>
  <c r="C13" i="10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E22" i="1"/>
  <c r="B22" i="1"/>
  <c r="G22" i="1" l="1"/>
  <c r="D22" i="12"/>
  <c r="F30" i="1"/>
  <c r="F27" i="1"/>
  <c r="F31" i="1"/>
  <c r="F25" i="1"/>
  <c r="F26" i="1"/>
  <c r="F24" i="1"/>
  <c r="F29" i="1"/>
  <c r="F28" i="1"/>
  <c r="E23" i="1"/>
  <c r="F23" i="1"/>
  <c r="E30" i="1"/>
  <c r="C15" i="10"/>
  <c r="C14" i="10"/>
  <c r="E31" i="1"/>
  <c r="E28" i="1"/>
  <c r="E24" i="1"/>
  <c r="E27" i="1"/>
  <c r="E26" i="1"/>
  <c r="E25" i="1"/>
  <c r="E29" i="1"/>
  <c r="G23" i="1" l="1"/>
  <c r="D23" i="12"/>
  <c r="G25" i="1"/>
  <c r="G30" i="1"/>
  <c r="G24" i="1"/>
  <c r="G29" i="1"/>
  <c r="G26" i="1"/>
  <c r="G27" i="1"/>
  <c r="G31" i="1"/>
  <c r="G28" i="1"/>
  <c r="D25" i="12" l="1"/>
  <c r="D24" i="12"/>
  <c r="G3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Nayab Mumtaz</author>
  </authors>
  <commentList>
    <comment ref="F14" authorId="0" shapeId="0" xr:uid="{6E23027F-7F0C-8C4D-A64D-C3051A7AC878}">
      <text>
        <r>
          <rPr>
            <sz val="12"/>
            <color rgb="FF000000"/>
            <rFont val="+mn-lt"/>
            <charset val="1"/>
          </rPr>
          <t xml:space="preserve">Represents the average annual demand for Prizdol (default: 50,000 units). 
</t>
        </r>
        <r>
          <rPr>
            <sz val="12"/>
            <color rgb="FF000000"/>
            <rFont val="+mn-lt"/>
            <charset val="1"/>
          </rPr>
          <t xml:space="preserve">
</t>
        </r>
        <r>
          <rPr>
            <sz val="12"/>
            <color rgb="FF000000"/>
            <rFont val="+mn-lt"/>
            <charset val="1"/>
          </rPr>
          <t xml:space="preserve">Adjust based on expected demand forecasts.
</t>
        </r>
      </text>
    </comment>
    <comment ref="F16" authorId="0" shapeId="0" xr:uid="{59358E18-B2FF-E64D-B7AA-D7530EDD2508}">
      <text>
        <r>
          <rPr>
            <sz val="12"/>
            <color rgb="FF000000"/>
            <rFont val="+mn-lt"/>
            <charset val="1"/>
          </rPr>
          <t xml:space="preserve">Captures demand variability (default: 12,000). 
</t>
        </r>
        <r>
          <rPr>
            <sz val="12"/>
            <color rgb="FF000000"/>
            <rFont val="+mn-lt"/>
            <charset val="1"/>
          </rPr>
          <t xml:space="preserve">
</t>
        </r>
        <r>
          <rPr>
            <sz val="12"/>
            <color rgb="FF000000"/>
            <rFont val="+mn-lt"/>
            <charset val="1"/>
          </rPr>
          <t xml:space="preserve">A higher value indicates more uncertainty in demand.
</t>
        </r>
      </text>
    </comment>
    <comment ref="F22" authorId="0" shapeId="0" xr:uid="{C81CD670-A529-7340-B1B9-D29063163C4C}">
      <text>
        <r>
          <rPr>
            <sz val="12"/>
            <color rgb="FF000000"/>
            <rFont val="+mn-lt"/>
            <charset val="1"/>
          </rPr>
          <t xml:space="preserve">Define the production limits for the plant. This parameter determines the range within which the plant can produce annually to meet demand. 
</t>
        </r>
        <r>
          <rPr>
            <sz val="12"/>
            <color rgb="FF000000"/>
            <rFont val="+mn-lt"/>
            <charset val="1"/>
          </rPr>
          <t xml:space="preserve">
</t>
        </r>
        <r>
          <rPr>
            <sz val="12"/>
            <color rgb="FF000000"/>
            <rFont val="+mn-lt"/>
            <charset val="1"/>
          </rPr>
          <t xml:space="preserve">Enter the minimum and maximum production capacity values (e.g., 25,000 to 43,000). Adjust these based on the plant's operational feasibility or expected demand range.
</t>
        </r>
      </text>
    </comment>
    <comment ref="F26" authorId="0" shapeId="0" xr:uid="{65556405-3E08-7A49-974D-A0C17F0798CF}">
      <text>
        <r>
          <rPr>
            <sz val="12"/>
            <color rgb="FF000000"/>
            <rFont val="+mn-lt"/>
            <charset val="1"/>
          </rPr>
          <t xml:space="preserve">Cost incurred for each unit of capacity built (default: $13.00). 
</t>
        </r>
        <r>
          <rPr>
            <sz val="12"/>
            <color rgb="FF000000"/>
            <rFont val="+mn-lt"/>
            <charset val="1"/>
          </rPr>
          <t xml:space="preserve">
</t>
        </r>
        <r>
          <rPr>
            <sz val="12"/>
            <color rgb="FF000000"/>
            <rFont val="+mn-lt"/>
            <charset val="1"/>
          </rPr>
          <t xml:space="preserve">Reflects capital expenditure.
</t>
        </r>
      </text>
    </comment>
    <comment ref="F28" authorId="0" shapeId="0" xr:uid="{44BC4FA4-E1AF-684B-A3B7-F91C47CB77FE}">
      <text>
        <r>
          <rPr>
            <sz val="12"/>
            <color rgb="FF000000"/>
            <rFont val="+mn-lt"/>
            <charset val="1"/>
          </rPr>
          <t xml:space="preserve">Annual cost for operating each unit of capacity (default: $0.30). 
</t>
        </r>
        <r>
          <rPr>
            <sz val="12"/>
            <color rgb="FF000000"/>
            <rFont val="+mn-lt"/>
            <charset val="1"/>
          </rPr>
          <t xml:space="preserve">
</t>
        </r>
        <r>
          <rPr>
            <sz val="12"/>
            <color rgb="FF000000"/>
            <rFont val="+mn-lt"/>
            <charset val="1"/>
          </rPr>
          <t xml:space="preserve">Includes maintenance and utilities.
</t>
        </r>
      </text>
    </comment>
    <comment ref="F30" authorId="0" shapeId="0" xr:uid="{A213FA26-8841-D24E-B081-E38A484B8020}">
      <text>
        <r>
          <rPr>
            <sz val="12"/>
            <color rgb="FF000000"/>
            <rFont val="+mn-lt"/>
            <charset val="1"/>
          </rPr>
          <t xml:space="preserve">Cost associated with producing one unit of Prizdol (default: $0.20).
</t>
        </r>
      </text>
    </comment>
    <comment ref="F34" authorId="0" shapeId="0" xr:uid="{D7DE71EF-F61B-EF4A-A48B-E8CC07D3F056}">
      <text>
        <r>
          <rPr>
            <sz val="12"/>
            <color rgb="FF000000"/>
            <rFont val="+mn-lt"/>
            <charset val="1"/>
          </rPr>
          <t xml:space="preserve">Initial selling price per unit (default: $3.70). 
</t>
        </r>
        <r>
          <rPr>
            <sz val="12"/>
            <color rgb="FF000000"/>
            <rFont val="+mn-lt"/>
            <charset val="1"/>
          </rPr>
          <t xml:space="preserve">
</t>
        </r>
        <r>
          <rPr>
            <sz val="12"/>
            <color rgb="FF000000"/>
            <rFont val="+mn-lt"/>
            <charset val="1"/>
          </rPr>
          <t xml:space="preserve">Adjust for market trends.
</t>
        </r>
      </text>
    </comment>
    <comment ref="F38" authorId="0" shapeId="0" xr:uid="{8A8E49B6-4804-CA42-9C4E-0DDDBDEC52F4}">
      <text>
        <r>
          <rPr>
            <sz val="12"/>
            <color rgb="FF000000"/>
            <rFont val="+mn-lt"/>
            <charset val="1"/>
          </rPr>
          <t xml:space="preserve">Reflects the cost of capital or time value of money (default: 8%).
</t>
        </r>
        <r>
          <rPr>
            <sz val="12"/>
            <color rgb="FF000000"/>
            <rFont val="+mn-lt"/>
            <charset val="1"/>
          </rPr>
          <t xml:space="preserve">
</t>
        </r>
        <r>
          <rPr>
            <sz val="12"/>
            <color rgb="FF000000"/>
            <rFont val="+mn-lt"/>
            <charset val="1"/>
          </rPr>
          <t xml:space="preserve">Essential for calculating present value of future cash flows.
</t>
        </r>
      </text>
    </comment>
    <comment ref="F42" authorId="0" shapeId="0" xr:uid="{240F80F5-378B-CC43-953E-8904785A681A}">
      <text>
        <r>
          <rPr>
            <sz val="12"/>
            <color rgb="FF000000"/>
            <rFont val="+mn-lt"/>
            <charset val="1"/>
          </rPr>
          <t xml:space="preserve">Defines how many simulations will run to calculate outcomes (default: 1000). 
</t>
        </r>
        <r>
          <rPr>
            <sz val="12"/>
            <color rgb="FF000000"/>
            <rFont val="+mn-lt"/>
            <charset val="1"/>
          </rPr>
          <t xml:space="preserve">
</t>
        </r>
        <r>
          <rPr>
            <sz val="12"/>
            <color rgb="FF000000"/>
            <rFont val="+mn-lt"/>
            <charset val="1"/>
          </rPr>
          <t xml:space="preserve">A higher number improves accuracy.
</t>
        </r>
      </text>
    </comment>
    <comment ref="F47" authorId="0" shapeId="0" xr:uid="{389134A9-6E24-4240-B4BE-F7D5977932E7}">
      <text>
        <r>
          <rPr>
            <sz val="12"/>
            <color rgb="FF000000"/>
            <rFont val="+mn-lt"/>
            <charset val="1"/>
          </rPr>
          <t xml:space="preserve">Statistical parameter to determine confidence level (default: 1.645 for 90% confidence). 
</t>
        </r>
        <r>
          <rPr>
            <sz val="12"/>
            <color rgb="FF000000"/>
            <rFont val="+mn-lt"/>
            <charset val="1"/>
          </rPr>
          <t xml:space="preserve">
</t>
        </r>
        <r>
          <rPr>
            <sz val="12"/>
            <color rgb="FF000000"/>
            <rFont val="+mn-lt"/>
            <charset val="1"/>
          </rPr>
          <t xml:space="preserve">Click View Z-Score Table for other confidence levels. 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Tech. Services</author>
  </authors>
  <commentList>
    <comment ref="A8" authorId="0" shapeId="0" xr:uid="{AB858CD9-40AB-47BF-8C86-5FFC79340FED}">
      <text>
        <r>
          <rPr>
            <b/>
            <sz val="8"/>
            <color rgb="FF000000"/>
            <rFont val="Tahoma"/>
            <family val="2"/>
          </rPr>
          <t xml:space="preserve">An annual cost
</t>
        </r>
        <r>
          <rPr>
            <sz val="8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Nayab Mumtaz</author>
  </authors>
  <commentList>
    <comment ref="C37" authorId="0" shapeId="0" xr:uid="{06550495-5387-5D4A-A579-2AF2FE843E52}">
      <text>
        <r>
          <rPr>
            <sz val="15"/>
            <color rgb="FF000000"/>
            <rFont val="+mn-lt"/>
            <charset val="1"/>
          </rPr>
          <t xml:space="preserve">Charts can be repositioned and resized to user's liking for exporting purposes.  </t>
        </r>
      </text>
    </comment>
  </commentList>
</comments>
</file>

<file path=xl/sharedStrings.xml><?xml version="1.0" encoding="utf-8"?>
<sst xmlns="http://schemas.openxmlformats.org/spreadsheetml/2006/main" count="103" uniqueCount="85">
  <si>
    <t>Mean</t>
  </si>
  <si>
    <t>Stdev</t>
  </si>
  <si>
    <t>Selling price per unit</t>
  </si>
  <si>
    <t>Var cost per unit</t>
  </si>
  <si>
    <t>Bldg cost per unit of capacity</t>
  </si>
  <si>
    <t>Operating cost per unit of capacity</t>
  </si>
  <si>
    <t>Capacity level</t>
  </si>
  <si>
    <t>Capacity levels to try</t>
  </si>
  <si>
    <t>Simulation</t>
  </si>
  <si>
    <t>Demand</t>
  </si>
  <si>
    <t>Bldg cost</t>
  </si>
  <si>
    <t>Op cost</t>
  </si>
  <si>
    <t>Var cost</t>
  </si>
  <si>
    <t>Revenue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</si>
  <si>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</si>
  <si>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</si>
  <si>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</si>
  <si>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</si>
  <si>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</si>
  <si>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</si>
  <si>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</si>
  <si>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</si>
  <si>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</si>
  <si>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</si>
  <si>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Profit</t>
  </si>
  <si>
    <t>Total</t>
  </si>
  <si>
    <t>Annual demand for Prizdol (normally distributed)</t>
  </si>
  <si>
    <t>NPV</t>
  </si>
  <si>
    <t>Discount Rate</t>
  </si>
  <si>
    <t>Average NPV</t>
  </si>
  <si>
    <t>Min NPV</t>
  </si>
  <si>
    <t>Max NPV</t>
  </si>
  <si>
    <t>SD NPV</t>
  </si>
  <si>
    <t>lower</t>
  </si>
  <si>
    <t>upper</t>
  </si>
  <si>
    <t xml:space="preserve">Iterations </t>
  </si>
  <si>
    <t>half-width</t>
  </si>
  <si>
    <t xml:space="preserve">Capacity </t>
  </si>
  <si>
    <t>Confidence Level</t>
  </si>
  <si>
    <t>Capacity Levels To Try</t>
  </si>
  <si>
    <t>Minimum</t>
  </si>
  <si>
    <t>Capacity</t>
  </si>
  <si>
    <t>Maximum Capacity</t>
  </si>
  <si>
    <t xml:space="preserve">Step </t>
  </si>
  <si>
    <t xml:space="preserve">NPV </t>
  </si>
  <si>
    <t>Minimum Capacity</t>
  </si>
  <si>
    <t>Standard Deviation</t>
  </si>
  <si>
    <t>Maximum</t>
  </si>
  <si>
    <t>Half Width</t>
  </si>
  <si>
    <t>Upper-Bound</t>
  </si>
  <si>
    <t>Lower-Bound</t>
  </si>
  <si>
    <t>Model Inputs</t>
  </si>
  <si>
    <t>Limits on Capacity</t>
  </si>
  <si>
    <t>Costs</t>
  </si>
  <si>
    <t>Selling Price/Unit</t>
  </si>
  <si>
    <t>Operating Cost/Unit of Capacity</t>
  </si>
  <si>
    <t>Building Cost/Unit of Capacity</t>
  </si>
  <si>
    <t>Variable Cost/Unit</t>
  </si>
  <si>
    <t>Price</t>
  </si>
  <si>
    <t>Annual Demand for Prizdol (Normally Distributed)</t>
  </si>
  <si>
    <t>Half-Width</t>
  </si>
  <si>
    <t>Upper Bound</t>
  </si>
  <si>
    <t xml:space="preserve">Capacity Levels </t>
  </si>
  <si>
    <t>Simulation/Scenarios</t>
  </si>
  <si>
    <t>Iterations</t>
  </si>
  <si>
    <t>Number of Iterations (n)</t>
  </si>
  <si>
    <t>Z-Value (z)</t>
  </si>
  <si>
    <t>Capacity Decision For Drug Production</t>
  </si>
  <si>
    <t>Prizdol Plant Decision Support System (DSS)</t>
  </si>
  <si>
    <t>NuFeel Company | Confidential | 2024</t>
  </si>
  <si>
    <t>Objective</t>
  </si>
  <si>
    <t>Key Features</t>
  </si>
  <si>
    <t>How To Use</t>
  </si>
  <si>
    <t>Simulates demand fluctuations using a normal distribution.</t>
  </si>
  <si>
    <t>Projects profitability under varying capacity and pricing scenarios.</t>
  </si>
  <si>
    <t>Streamlined interface for easy customization of inputs.</t>
  </si>
  <si>
    <t>Delivers actionable insights through detailed visualizations and results.</t>
  </si>
  <si>
    <t>Click the View Inputs button to access the input form, where you can adjust demand, costs, capacity, and pricing details.</t>
  </si>
  <si>
    <t>This DSS helps NuFeel Company determine the optimal plant size for Prizdol production, balancing demand, price fluctuations, and costs over the  next 10 years to maximize profitability.</t>
  </si>
  <si>
    <t>Welcome</t>
  </si>
  <si>
    <t xml:space="preserve">Get started by customizing the   key parameters for the Prizdol production simulation. </t>
  </si>
  <si>
    <t>Excel Simulation Summary</t>
  </si>
  <si>
    <t>Results Tab</t>
  </si>
  <si>
    <r>
      <t xml:space="preserve">Welcome to the </t>
    </r>
    <r>
      <rPr>
        <b/>
        <sz val="20"/>
        <rFont val="Century Gothic"/>
        <family val="1"/>
        <scheme val="minor"/>
      </rPr>
      <t>Simulation Summary</t>
    </r>
    <r>
      <rPr>
        <sz val="20"/>
        <rFont val="Century Gothic"/>
        <family val="1"/>
        <scheme val="minor"/>
      </rPr>
      <t>! This section provides a clear and concise summary of the simulation results, helping you evaluate key metrics across multiple capacity scenarios. Below, you'll find a comprehensive table highlighting the performance metrics and visual insights to guide your decisions. Use the buttons below to explore the data, visualize results, and export your findings for further analysis.</t>
    </r>
  </si>
  <si>
    <t>Z-Score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</si>
</sst>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;\-&quot;$&quot;#,##0"/>
    <numFmt numFmtId="165" formatCode="&quot;$&quot;#,##0.00;\-&quot;$&quot;#,##0.00"/>
    <numFmt numFmtId="166" formatCode="&quot;$&quot;#,##0.00"/>
    <numFmt numFmtId="167" formatCode="0.000"/>
  </numFmts>
  <fonts count="48">
    <font>
      <sz val="11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rgb="FF006100"/>
      <name val="Century Gothic"/>
      <family val="2"/>
      <scheme val="minor"/>
    </font>
    <font>
      <sz val="11"/>
      <color rgb="FF9C0006"/>
      <name val="Century Gothic"/>
      <family val="2"/>
      <scheme val="minor"/>
    </font>
    <font>
      <sz val="11"/>
      <color rgb="FF3F3F76"/>
      <name val="Century Gothic"/>
      <family val="2"/>
      <scheme val="minor"/>
    </font>
    <font>
      <b/>
      <sz val="11"/>
      <color rgb="FFFA7D00"/>
      <name val="Century Gothic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2"/>
      <color theme="0"/>
      <name val="Century Gothic"/>
      <family val="2"/>
      <scheme val="minor"/>
    </font>
    <font>
      <b/>
      <sz val="8"/>
      <color rgb="FF000000"/>
      <name val="Tahoma"/>
      <family val="2"/>
    </font>
    <font>
      <sz val="8"/>
      <color rgb="FF000000"/>
      <name val="Tahoma"/>
      <family val="2"/>
    </font>
    <font>
      <sz val="11"/>
      <name val="Century Gothic"/>
      <family val="2"/>
      <scheme val="minor"/>
    </font>
    <font>
      <sz val="10"/>
      <name val="Century Gothic"/>
      <family val="2"/>
      <scheme val="minor"/>
    </font>
    <font>
      <b/>
      <sz val="30"/>
      <color theme="0"/>
      <name val="Century Gothic"/>
      <family val="1"/>
      <scheme val="major"/>
    </font>
    <font>
      <sz val="18"/>
      <name val="Century Gothic"/>
      <family val="1"/>
      <scheme val="major"/>
    </font>
    <font>
      <sz val="15"/>
      <name val="Century Gothic"/>
      <family val="1"/>
      <scheme val="minor"/>
    </font>
    <font>
      <sz val="15"/>
      <name val="Century Gothic"/>
      <family val="1"/>
    </font>
    <font>
      <sz val="13"/>
      <name val="Century Gothic"/>
      <family val="1"/>
      <scheme val="minor"/>
    </font>
    <font>
      <sz val="16.100000000000001"/>
      <color rgb="FF003A6A"/>
      <name val="Aptos Narrow"/>
    </font>
    <font>
      <sz val="15"/>
      <color theme="0"/>
      <name val="Century Gothic"/>
      <family val="1"/>
      <scheme val="minor"/>
    </font>
    <font>
      <sz val="15"/>
      <color theme="1"/>
      <name val="Century Gothic"/>
      <family val="1"/>
      <scheme val="minor"/>
    </font>
    <font>
      <b/>
      <sz val="15"/>
      <color rgb="FF003A6A"/>
      <name val="Century Gothic"/>
      <family val="1"/>
    </font>
    <font>
      <sz val="15"/>
      <name val="Century Gothic"/>
      <family val="2"/>
      <scheme val="minor"/>
    </font>
    <font>
      <b/>
      <sz val="15"/>
      <name val="Century Gothic"/>
      <family val="2"/>
      <scheme val="minor"/>
    </font>
    <font>
      <sz val="15"/>
      <color theme="1"/>
      <name val="Century Gothic"/>
      <family val="2"/>
      <scheme val="minor"/>
    </font>
    <font>
      <b/>
      <sz val="16"/>
      <name val="Century Gothic"/>
      <family val="2"/>
      <scheme val="minor"/>
    </font>
    <font>
      <b/>
      <sz val="16"/>
      <name val="Century Gothic"/>
      <family val="1"/>
      <scheme val="minor"/>
    </font>
    <font>
      <sz val="15"/>
      <name val="Arial"/>
      <family val="2"/>
    </font>
    <font>
      <sz val="12"/>
      <color rgb="FF000000"/>
      <name val="+mn-lt"/>
      <charset val="1"/>
    </font>
    <font>
      <b/>
      <sz val="25"/>
      <color theme="0"/>
      <name val="Century Gothic"/>
      <family val="1"/>
      <scheme val="major"/>
    </font>
    <font>
      <b/>
      <sz val="25"/>
      <color theme="0"/>
      <name val="Century Gothic (Body)"/>
    </font>
    <font>
      <sz val="25"/>
      <color theme="1"/>
      <name val="Century Gothic"/>
      <family val="1"/>
    </font>
    <font>
      <b/>
      <sz val="20"/>
      <color theme="0"/>
      <name val="Century Gothic"/>
      <family val="1"/>
      <scheme val="minor"/>
    </font>
    <font>
      <sz val="20"/>
      <name val="Century Gothic"/>
      <family val="1"/>
      <scheme val="minor"/>
    </font>
    <font>
      <b/>
      <sz val="20"/>
      <name val="Century Gothic"/>
      <family val="1"/>
      <scheme val="minor"/>
    </font>
    <font>
      <b/>
      <sz val="20"/>
      <color rgb="FF003A6A"/>
      <name val="Century Gothic"/>
      <family val="1"/>
    </font>
    <font>
      <b/>
      <sz val="12"/>
      <color theme="0"/>
      <name val="Century Gothic"/>
      <family val="1"/>
      <scheme val="minor"/>
    </font>
    <font>
      <sz val="12"/>
      <name val="Century Gothic"/>
      <family val="1"/>
      <scheme val="minor"/>
    </font>
    <font>
      <b/>
      <sz val="12"/>
      <name val="Century Gothic"/>
      <family val="1"/>
      <scheme val="minor"/>
    </font>
    <font>
      <b/>
      <sz val="12"/>
      <color theme="1"/>
      <name val="Century Gothic"/>
      <family val="1"/>
      <scheme val="minor"/>
    </font>
    <font>
      <sz val="12"/>
      <color rgb="FF3F3F76"/>
      <name val="Century Gothic"/>
      <family val="1"/>
      <scheme val="minor"/>
    </font>
    <font>
      <sz val="12"/>
      <color rgb="FF9C0006"/>
      <name val="Century Gothic"/>
      <family val="1"/>
      <scheme val="minor"/>
    </font>
    <font>
      <b/>
      <sz val="12"/>
      <color rgb="FFFA7D00"/>
      <name val="Century Gothic"/>
      <family val="1"/>
      <scheme val="minor"/>
    </font>
    <font>
      <sz val="12"/>
      <color rgb="FF006100"/>
      <name val="Century Gothic"/>
      <family val="1"/>
      <scheme val="minor"/>
    </font>
    <font>
      <b/>
      <sz val="25"/>
      <color rgb="FF003A6A"/>
      <name val="Century Gothic"/>
      <family val="1"/>
    </font>
    <font>
      <b/>
      <sz val="11"/>
      <color theme="0"/>
      <name val="Century Gothic"/>
      <family val="1"/>
      <scheme val="minor"/>
    </font>
    <font>
      <sz val="15"/>
      <color rgb="FF000000"/>
      <name val="+mn-lt"/>
      <charset val="1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0B4F"/>
        <bgColor indexed="64"/>
      </patternFill>
    </fill>
    <fill>
      <patternFill patternType="solid">
        <fgColor rgb="FF6599CD"/>
        <bgColor indexed="64"/>
      </patternFill>
    </fill>
    <fill>
      <patternFill patternType="solid">
        <fgColor rgb="FFBCD9EF"/>
        <bgColor indexed="64"/>
      </patternFill>
    </fill>
    <fill>
      <patternFill patternType="solid">
        <fgColor rgb="FFD5DCE4"/>
        <bgColor indexed="64"/>
      </patternFill>
    </fill>
    <fill>
      <patternFill patternType="solid">
        <fgColor rgb="FF206AA4"/>
        <bgColor indexed="64"/>
      </patternFill>
    </fill>
    <fill>
      <patternFill patternType="solid">
        <fgColor rgb="FFD5DCE4"/>
        <bgColor rgb="FF000000"/>
      </patternFill>
    </fill>
    <fill>
      <patternFill patternType="solid">
        <fgColor rgb="FF002060"/>
        <bgColor indexed="64"/>
      </patternFill>
    </fill>
    <fill>
      <patternFill patternType="solid">
        <fgColor rgb="FF1E6AA4"/>
        <bgColor indexed="64"/>
      </patternFill>
    </fill>
  </fills>
  <borders count="5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0" tint="-0.34998626667073579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</borders>
  <cellStyleXfs count="10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1" applyNumberFormat="0" applyAlignment="0" applyProtection="0"/>
    <xf numFmtId="0" fontId="6" fillId="5" borderId="1" applyNumberFormat="0" applyAlignment="0" applyProtection="0"/>
    <xf numFmtId="0" fontId="7" fillId="0" borderId="0"/>
    <xf numFmtId="9" fontId="2" fillId="0" borderId="0" applyFont="0" applyFill="0" applyBorder="0" applyAlignment="0" applyProtection="0"/>
    <xf numFmtId="0" fontId="8" fillId="0" borderId="0"/>
    <xf numFmtId="44" fontId="2" fillId="0" borderId="0" applyFont="0" applyFill="0" applyBorder="0" applyAlignment="0" applyProtection="0"/>
    <xf numFmtId="0" fontId="9" fillId="8" borderId="21" applyNumberFormat="0" applyAlignment="0" applyProtection="0"/>
  </cellStyleXfs>
  <cellXfs count="239">
    <xf numFmtId="0" fontId="0" fillId="0" borderId="0" xfId="0"/>
    <xf numFmtId="0" fontId="2" fillId="0" borderId="0" xfId="0" applyFont="1"/>
    <xf numFmtId="0" fontId="1" fillId="0" borderId="2" xfId="0" applyFont="1" applyBorder="1"/>
    <xf numFmtId="0" fontId="5" fillId="4" borderId="2" xfId="3" applyBorder="1"/>
    <xf numFmtId="166" fontId="4" fillId="3" borderId="2" xfId="8" applyNumberFormat="1" applyFont="1" applyFill="1" applyBorder="1"/>
    <xf numFmtId="166" fontId="0" fillId="0" borderId="0" xfId="8" applyNumberFormat="1" applyFont="1"/>
    <xf numFmtId="166" fontId="6" fillId="5" borderId="2" xfId="8" applyNumberFormat="1" applyFont="1" applyFill="1" applyBorder="1"/>
    <xf numFmtId="166" fontId="4" fillId="6" borderId="2" xfId="8" applyNumberFormat="1" applyFont="1" applyFill="1" applyBorder="1"/>
    <xf numFmtId="0" fontId="1" fillId="0" borderId="0" xfId="0" applyFont="1" applyAlignment="1">
      <alignment horizontal="center"/>
    </xf>
    <xf numFmtId="0" fontId="7" fillId="0" borderId="0" xfId="5"/>
    <xf numFmtId="0" fontId="0" fillId="0" borderId="0" xfId="0" applyAlignment="1">
      <alignment horizontal="center"/>
    </xf>
    <xf numFmtId="0" fontId="0" fillId="0" borderId="41" xfId="0" applyBorder="1"/>
    <xf numFmtId="0" fontId="0" fillId="0" borderId="48" xfId="0" applyBorder="1"/>
    <xf numFmtId="0" fontId="0" fillId="0" borderId="49" xfId="0" applyBorder="1"/>
    <xf numFmtId="0" fontId="0" fillId="0" borderId="46" xfId="0" applyBorder="1"/>
    <xf numFmtId="0" fontId="0" fillId="0" borderId="47" xfId="0" applyBorder="1"/>
    <xf numFmtId="0" fontId="0" fillId="0" borderId="44" xfId="0" applyBorder="1"/>
    <xf numFmtId="0" fontId="0" fillId="0" borderId="48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49" xfId="0" applyBorder="1" applyAlignment="1">
      <alignment vertical="center" wrapText="1"/>
    </xf>
    <xf numFmtId="0" fontId="16" fillId="0" borderId="43" xfId="0" applyFont="1" applyBorder="1" applyAlignment="1">
      <alignment vertical="center" wrapText="1"/>
    </xf>
    <xf numFmtId="0" fontId="16" fillId="0" borderId="44" xfId="0" applyFont="1" applyBorder="1" applyAlignment="1">
      <alignment vertical="center" wrapText="1"/>
    </xf>
    <xf numFmtId="0" fontId="16" fillId="0" borderId="45" xfId="0" applyFont="1" applyBorder="1" applyAlignment="1">
      <alignment vertical="center" wrapText="1"/>
    </xf>
    <xf numFmtId="0" fontId="16" fillId="0" borderId="48" xfId="0" applyFont="1" applyBorder="1" applyAlignment="1">
      <alignment vertical="center" wrapText="1"/>
    </xf>
    <xf numFmtId="0" fontId="16" fillId="0" borderId="0" xfId="0" applyFont="1" applyAlignment="1">
      <alignment vertical="center" wrapText="1"/>
    </xf>
    <xf numFmtId="0" fontId="16" fillId="0" borderId="49" xfId="0" applyFont="1" applyBorder="1" applyAlignment="1">
      <alignment vertical="center" wrapText="1"/>
    </xf>
    <xf numFmtId="0" fontId="18" fillId="0" borderId="48" xfId="0" applyFont="1" applyBorder="1" applyAlignment="1">
      <alignment vertical="center" wrapText="1"/>
    </xf>
    <xf numFmtId="0" fontId="18" fillId="0" borderId="0" xfId="0" applyFont="1" applyAlignment="1">
      <alignment vertical="center" wrapText="1"/>
    </xf>
    <xf numFmtId="0" fontId="18" fillId="0" borderId="49" xfId="0" applyFont="1" applyBorder="1" applyAlignment="1">
      <alignment vertical="center" wrapText="1"/>
    </xf>
    <xf numFmtId="0" fontId="16" fillId="0" borderId="48" xfId="0" applyFont="1" applyBorder="1" applyAlignment="1">
      <alignment wrapText="1"/>
    </xf>
    <xf numFmtId="0" fontId="16" fillId="0" borderId="0" xfId="0" applyFont="1" applyAlignment="1">
      <alignment wrapText="1"/>
    </xf>
    <xf numFmtId="0" fontId="16" fillId="0" borderId="49" xfId="0" applyFont="1" applyBorder="1" applyAlignment="1">
      <alignment wrapText="1"/>
    </xf>
    <xf numFmtId="0" fontId="7" fillId="0" borderId="0" xfId="0" applyFont="1"/>
    <xf numFmtId="0" fontId="7" fillId="0" borderId="44" xfId="5" applyBorder="1"/>
    <xf numFmtId="0" fontId="12" fillId="9" borderId="22" xfId="0" applyFont="1" applyFill="1" applyBorder="1"/>
    <xf numFmtId="0" fontId="7" fillId="9" borderId="0" xfId="5" applyFill="1"/>
    <xf numFmtId="0" fontId="12" fillId="9" borderId="0" xfId="0" applyFont="1" applyFill="1" applyAlignment="1">
      <alignment horizontal="left" vertical="center" wrapText="1"/>
    </xf>
    <xf numFmtId="0" fontId="12" fillId="9" borderId="0" xfId="0" applyFont="1" applyFill="1"/>
    <xf numFmtId="0" fontId="13" fillId="9" borderId="0" xfId="5" applyFont="1" applyFill="1"/>
    <xf numFmtId="0" fontId="13" fillId="9" borderId="22" xfId="5" applyFont="1" applyFill="1" applyBorder="1"/>
    <xf numFmtId="0" fontId="0" fillId="9" borderId="0" xfId="0" applyFill="1"/>
    <xf numFmtId="0" fontId="24" fillId="9" borderId="0" xfId="0" applyFont="1" applyFill="1" applyAlignment="1">
      <alignment horizontal="left" vertical="center" wrapText="1"/>
    </xf>
    <xf numFmtId="0" fontId="23" fillId="9" borderId="0" xfId="0" applyFont="1" applyFill="1" applyAlignment="1">
      <alignment horizontal="left" vertical="center" wrapText="1"/>
    </xf>
    <xf numFmtId="0" fontId="23" fillId="9" borderId="0" xfId="5" applyFont="1" applyFill="1" applyAlignment="1">
      <alignment horizontal="left"/>
    </xf>
    <xf numFmtId="0" fontId="0" fillId="9" borderId="0" xfId="0" applyFill="1" applyAlignment="1">
      <alignment vertical="center" wrapText="1"/>
    </xf>
    <xf numFmtId="0" fontId="23" fillId="9" borderId="0" xfId="0" applyFont="1" applyFill="1" applyAlignment="1">
      <alignment vertical="center" wrapText="1"/>
    </xf>
    <xf numFmtId="0" fontId="25" fillId="9" borderId="0" xfId="5" applyFont="1" applyFill="1" applyAlignment="1">
      <alignment horizontal="center" vertical="center"/>
    </xf>
    <xf numFmtId="3" fontId="25" fillId="9" borderId="21" xfId="9" applyNumberFormat="1" applyFont="1" applyFill="1" applyAlignment="1">
      <alignment horizontal="center" vertical="center"/>
    </xf>
    <xf numFmtId="0" fontId="25" fillId="9" borderId="0" xfId="0" applyFont="1" applyFill="1" applyAlignment="1">
      <alignment horizontal="left" vertical="center" wrapText="1"/>
    </xf>
    <xf numFmtId="0" fontId="25" fillId="9" borderId="0" xfId="0" applyFont="1" applyFill="1" applyAlignment="1">
      <alignment horizontal="center" vertical="center" wrapText="1"/>
    </xf>
    <xf numFmtId="0" fontId="25" fillId="9" borderId="22" xfId="0" applyFont="1" applyFill="1" applyBorder="1" applyAlignment="1">
      <alignment horizontal="center" vertical="center"/>
    </xf>
    <xf numFmtId="0" fontId="25" fillId="9" borderId="22" xfId="0" applyFont="1" applyFill="1" applyBorder="1" applyAlignment="1">
      <alignment vertical="center"/>
    </xf>
    <xf numFmtId="0" fontId="25" fillId="9" borderId="0" xfId="0" applyFont="1" applyFill="1" applyAlignment="1">
      <alignment horizontal="center" vertical="center"/>
    </xf>
    <xf numFmtId="0" fontId="25" fillId="9" borderId="0" xfId="0" applyFont="1" applyFill="1" applyAlignment="1">
      <alignment vertical="center"/>
    </xf>
    <xf numFmtId="0" fontId="25" fillId="9" borderId="0" xfId="5" applyFont="1" applyFill="1" applyAlignment="1">
      <alignment vertical="center"/>
    </xf>
    <xf numFmtId="0" fontId="25" fillId="9" borderId="22" xfId="5" applyFont="1" applyFill="1" applyBorder="1" applyAlignment="1">
      <alignment horizontal="center" vertical="center"/>
    </xf>
    <xf numFmtId="0" fontId="25" fillId="9" borderId="22" xfId="5" applyFont="1" applyFill="1" applyBorder="1" applyAlignment="1">
      <alignment vertical="center"/>
    </xf>
    <xf numFmtId="166" fontId="25" fillId="10" borderId="21" xfId="8" applyNumberFormat="1" applyFont="1" applyFill="1" applyBorder="1" applyAlignment="1">
      <alignment horizontal="center" vertical="center"/>
    </xf>
    <xf numFmtId="0" fontId="28" fillId="9" borderId="0" xfId="5" applyFont="1" applyFill="1" applyAlignment="1">
      <alignment vertical="center"/>
    </xf>
    <xf numFmtId="9" fontId="25" fillId="9" borderId="21" xfId="9" applyNumberFormat="1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vertical="center"/>
    </xf>
    <xf numFmtId="0" fontId="23" fillId="9" borderId="22" xfId="0" applyFont="1" applyFill="1" applyBorder="1" applyAlignment="1">
      <alignment horizontal="center" vertical="center"/>
    </xf>
    <xf numFmtId="0" fontId="23" fillId="9" borderId="22" xfId="0" applyFont="1" applyFill="1" applyBorder="1" applyAlignment="1">
      <alignment vertical="center"/>
    </xf>
    <xf numFmtId="0" fontId="25" fillId="9" borderId="21" xfId="9" applyFont="1" applyFill="1" applyAlignment="1">
      <alignment horizontal="center" vertical="center"/>
    </xf>
    <xf numFmtId="0" fontId="23" fillId="9" borderId="0" xfId="5" applyFont="1" applyFill="1" applyAlignment="1">
      <alignment vertical="center"/>
    </xf>
    <xf numFmtId="0" fontId="27" fillId="9" borderId="22" xfId="0" applyFont="1" applyFill="1" applyBorder="1" applyAlignment="1">
      <alignment vertical="center"/>
    </xf>
    <xf numFmtId="0" fontId="27" fillId="9" borderId="22" xfId="5" applyFont="1" applyFill="1" applyBorder="1" applyAlignment="1">
      <alignment vertical="center"/>
    </xf>
    <xf numFmtId="0" fontId="26" fillId="9" borderId="22" xfId="0" applyFont="1" applyFill="1" applyBorder="1" applyAlignment="1">
      <alignment vertical="center"/>
    </xf>
    <xf numFmtId="0" fontId="14" fillId="0" borderId="0" xfId="5" applyFont="1" applyAlignment="1">
      <alignment vertical="center"/>
    </xf>
    <xf numFmtId="0" fontId="0" fillId="9" borderId="41" xfId="0" applyFill="1" applyBorder="1" applyAlignment="1">
      <alignment vertical="center" wrapText="1"/>
    </xf>
    <xf numFmtId="0" fontId="23" fillId="9" borderId="41" xfId="0" applyFont="1" applyFill="1" applyBorder="1" applyAlignment="1">
      <alignment vertical="center" wrapText="1"/>
    </xf>
    <xf numFmtId="0" fontId="30" fillId="0" borderId="0" xfId="5" applyFont="1" applyAlignment="1">
      <alignment vertical="center"/>
    </xf>
    <xf numFmtId="0" fontId="7" fillId="9" borderId="44" xfId="5" applyFill="1" applyBorder="1"/>
    <xf numFmtId="0" fontId="0" fillId="9" borderId="44" xfId="0" applyFill="1" applyBorder="1"/>
    <xf numFmtId="0" fontId="27" fillId="0" borderId="22" xfId="0" applyFont="1" applyBorder="1" applyAlignment="1">
      <alignment horizontal="left"/>
    </xf>
    <xf numFmtId="0" fontId="12" fillId="0" borderId="22" xfId="0" applyFont="1" applyBorder="1" applyAlignment="1">
      <alignment horizontal="left" vertical="center" wrapText="1"/>
    </xf>
    <xf numFmtId="0" fontId="12" fillId="0" borderId="22" xfId="0" applyFont="1" applyBorder="1"/>
    <xf numFmtId="0" fontId="23" fillId="13" borderId="0" xfId="0" applyFont="1" applyFill="1" applyAlignment="1">
      <alignment horizontal="left" vertical="center" wrapText="1"/>
    </xf>
    <xf numFmtId="0" fontId="23" fillId="13" borderId="0" xfId="5" applyFont="1" applyFill="1" applyAlignment="1">
      <alignment horizontal="left" vertical="center"/>
    </xf>
    <xf numFmtId="0" fontId="23" fillId="9" borderId="0" xfId="0" applyFont="1" applyFill="1" applyAlignment="1">
      <alignment horizontal="left" wrapText="1"/>
    </xf>
    <xf numFmtId="0" fontId="27" fillId="9" borderId="22" xfId="0" applyFont="1" applyFill="1" applyBorder="1"/>
    <xf numFmtId="0" fontId="24" fillId="9" borderId="0" xfId="0" applyFont="1" applyFill="1"/>
    <xf numFmtId="0" fontId="23" fillId="9" borderId="0" xfId="5" applyFont="1" applyFill="1"/>
    <xf numFmtId="0" fontId="23" fillId="13" borderId="0" xfId="0" applyFont="1" applyFill="1"/>
    <xf numFmtId="0" fontId="23" fillId="9" borderId="0" xfId="0" applyFont="1" applyFill="1"/>
    <xf numFmtId="0" fontId="24" fillId="9" borderId="0" xfId="0" applyFont="1" applyFill="1" applyAlignment="1">
      <alignment vertical="center"/>
    </xf>
    <xf numFmtId="0" fontId="23" fillId="13" borderId="0" xfId="0" applyFont="1" applyFill="1" applyAlignment="1">
      <alignment vertical="center"/>
    </xf>
    <xf numFmtId="0" fontId="23" fillId="13" borderId="0" xfId="5" applyFont="1" applyFill="1" applyAlignment="1">
      <alignment vertical="center"/>
    </xf>
    <xf numFmtId="0" fontId="23" fillId="13" borderId="0" xfId="0" applyFont="1" applyFill="1" applyAlignment="1">
      <alignment horizontal="left" vertical="center" wrapText="1" indent="1"/>
    </xf>
    <xf numFmtId="0" fontId="34" fillId="0" borderId="42" xfId="5" applyFont="1" applyBorder="1" applyAlignment="1">
      <alignment horizontal="center"/>
    </xf>
    <xf numFmtId="166" fontId="34" fillId="0" borderId="42" xfId="8" applyNumberFormat="1" applyFont="1" applyBorder="1" applyAlignment="1">
      <alignment horizontal="center"/>
    </xf>
    <xf numFmtId="2" fontId="34" fillId="0" borderId="42" xfId="5" applyNumberFormat="1" applyFont="1" applyBorder="1" applyAlignment="1">
      <alignment horizontal="center"/>
    </xf>
    <xf numFmtId="0" fontId="38" fillId="0" borderId="0" xfId="0" applyFont="1"/>
    <xf numFmtId="0" fontId="39" fillId="0" borderId="4" xfId="0" applyFont="1" applyBorder="1"/>
    <xf numFmtId="0" fontId="38" fillId="0" borderId="5" xfId="0" applyFont="1" applyBorder="1"/>
    <xf numFmtId="0" fontId="39" fillId="0" borderId="6" xfId="0" applyFont="1" applyBorder="1"/>
    <xf numFmtId="3" fontId="41" fillId="4" borderId="7" xfId="3" applyNumberFormat="1" applyFont="1" applyBorder="1" applyAlignment="1">
      <alignment horizontal="center"/>
    </xf>
    <xf numFmtId="0" fontId="39" fillId="0" borderId="8" xfId="0" applyFont="1" applyBorder="1"/>
    <xf numFmtId="3" fontId="41" fillId="4" borderId="9" xfId="3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0" fontId="38" fillId="0" borderId="4" xfId="0" applyFont="1" applyBorder="1"/>
    <xf numFmtId="164" fontId="41" fillId="4" borderId="5" xfId="3" applyNumberFormat="1" applyFont="1" applyBorder="1" applyAlignment="1">
      <alignment horizontal="center"/>
    </xf>
    <xf numFmtId="0" fontId="38" fillId="0" borderId="6" xfId="0" applyFont="1" applyBorder="1"/>
    <xf numFmtId="165" fontId="41" fillId="4" borderId="7" xfId="3" applyNumberFormat="1" applyFont="1" applyBorder="1" applyAlignment="1">
      <alignment horizontal="center"/>
    </xf>
    <xf numFmtId="0" fontId="38" fillId="0" borderId="0" xfId="5" applyFont="1"/>
    <xf numFmtId="0" fontId="38" fillId="0" borderId="8" xfId="0" applyFont="1" applyBorder="1"/>
    <xf numFmtId="9" fontId="41" fillId="4" borderId="9" xfId="6" applyFont="1" applyFill="1" applyBorder="1" applyAlignment="1">
      <alignment horizontal="center"/>
    </xf>
    <xf numFmtId="0" fontId="38" fillId="0" borderId="0" xfId="6" applyNumberFormat="1" applyFont="1"/>
    <xf numFmtId="0" fontId="39" fillId="0" borderId="16" xfId="0" applyFont="1" applyBorder="1"/>
    <xf numFmtId="0" fontId="42" fillId="3" borderId="17" xfId="2" applyFont="1" applyBorder="1" applyAlignment="1">
      <alignment horizontal="center"/>
    </xf>
    <xf numFmtId="0" fontId="38" fillId="0" borderId="23" xfId="0" applyFont="1" applyBorder="1"/>
    <xf numFmtId="0" fontId="39" fillId="0" borderId="6" xfId="0" applyFont="1" applyBorder="1" applyAlignment="1">
      <alignment horizontal="center"/>
    </xf>
    <xf numFmtId="0" fontId="39" fillId="0" borderId="2" xfId="0" applyFont="1" applyBorder="1" applyAlignment="1">
      <alignment horizontal="center"/>
    </xf>
    <xf numFmtId="0" fontId="39" fillId="0" borderId="30" xfId="0" applyFont="1" applyBorder="1" applyAlignment="1">
      <alignment horizontal="center"/>
    </xf>
    <xf numFmtId="0" fontId="39" fillId="0" borderId="34" xfId="0" applyFont="1" applyBorder="1" applyAlignment="1">
      <alignment horizontal="center"/>
    </xf>
    <xf numFmtId="0" fontId="39" fillId="0" borderId="7" xfId="0" applyFont="1" applyBorder="1" applyAlignment="1">
      <alignment horizontal="center"/>
    </xf>
    <xf numFmtId="0" fontId="41" fillId="4" borderId="8" xfId="3" applyFont="1" applyBorder="1" applyAlignment="1">
      <alignment horizontal="center"/>
    </xf>
    <xf numFmtId="0" fontId="41" fillId="4" borderId="14" xfId="3" applyFont="1" applyBorder="1" applyAlignment="1">
      <alignment horizontal="center"/>
    </xf>
    <xf numFmtId="3" fontId="41" fillId="4" borderId="19" xfId="3" applyNumberFormat="1" applyFont="1" applyBorder="1" applyAlignment="1">
      <alignment horizontal="center"/>
    </xf>
    <xf numFmtId="0" fontId="41" fillId="4" borderId="35" xfId="3" applyFont="1" applyBorder="1" applyAlignment="1">
      <alignment horizontal="center"/>
    </xf>
    <xf numFmtId="0" fontId="41" fillId="4" borderId="9" xfId="3" applyFont="1" applyBorder="1" applyAlignment="1">
      <alignment horizontal="center"/>
    </xf>
    <xf numFmtId="0" fontId="38" fillId="0" borderId="10" xfId="0" applyFont="1" applyBorder="1"/>
    <xf numFmtId="0" fontId="39" fillId="0" borderId="11" xfId="0" applyFont="1" applyBorder="1" applyAlignment="1">
      <alignment horizontal="center"/>
    </xf>
    <xf numFmtId="0" fontId="39" fillId="0" borderId="31" xfId="0" applyFont="1" applyBorder="1" applyAlignment="1">
      <alignment horizontal="center"/>
    </xf>
    <xf numFmtId="0" fontId="39" fillId="0" borderId="37" xfId="0" applyFont="1" applyBorder="1" applyAlignment="1">
      <alignment horizontal="center"/>
    </xf>
    <xf numFmtId="0" fontId="39" fillId="0" borderId="5" xfId="0" applyFont="1" applyBorder="1" applyAlignment="1">
      <alignment horizontal="center"/>
    </xf>
    <xf numFmtId="164" fontId="43" fillId="5" borderId="20" xfId="4" applyNumberFormat="1" applyFont="1" applyBorder="1" applyAlignment="1">
      <alignment horizontal="center"/>
    </xf>
    <xf numFmtId="0" fontId="43" fillId="5" borderId="2" xfId="4" applyFont="1" applyBorder="1" applyAlignment="1">
      <alignment horizontal="center"/>
    </xf>
    <xf numFmtId="164" fontId="43" fillId="5" borderId="30" xfId="4" applyNumberFormat="1" applyFont="1" applyBorder="1" applyAlignment="1">
      <alignment horizontal="center"/>
    </xf>
    <xf numFmtId="164" fontId="43" fillId="5" borderId="34" xfId="4" applyNumberFormat="1" applyFont="1" applyBorder="1" applyAlignment="1">
      <alignment horizontal="center"/>
    </xf>
    <xf numFmtId="164" fontId="43" fillId="5" borderId="2" xfId="4" applyNumberFormat="1" applyFont="1" applyBorder="1" applyAlignment="1">
      <alignment horizontal="center"/>
    </xf>
    <xf numFmtId="164" fontId="43" fillId="5" borderId="7" xfId="4" applyNumberFormat="1" applyFont="1" applyBorder="1" applyAlignment="1">
      <alignment horizontal="center"/>
    </xf>
    <xf numFmtId="164" fontId="43" fillId="5" borderId="38" xfId="4" applyNumberFormat="1" applyFont="1" applyBorder="1" applyAlignment="1">
      <alignment horizontal="center"/>
    </xf>
    <xf numFmtId="164" fontId="43" fillId="5" borderId="39" xfId="4" applyNumberFormat="1" applyFont="1" applyBorder="1" applyAlignment="1">
      <alignment horizontal="center"/>
    </xf>
    <xf numFmtId="164" fontId="43" fillId="5" borderId="40" xfId="4" applyNumberFormat="1" applyFont="1" applyBorder="1" applyAlignment="1">
      <alignment horizontal="center"/>
    </xf>
    <xf numFmtId="164" fontId="43" fillId="5" borderId="15" xfId="4" applyNumberFormat="1" applyFont="1" applyBorder="1" applyAlignment="1">
      <alignment horizontal="center"/>
    </xf>
    <xf numFmtId="164" fontId="43" fillId="5" borderId="32" xfId="4" applyNumberFormat="1" applyFont="1" applyBorder="1" applyAlignment="1">
      <alignment horizontal="center"/>
    </xf>
    <xf numFmtId="164" fontId="43" fillId="5" borderId="18" xfId="4" applyNumberFormat="1" applyFont="1" applyBorder="1" applyAlignment="1">
      <alignment horizontal="center"/>
    </xf>
    <xf numFmtId="0" fontId="39" fillId="0" borderId="8" xfId="0" applyFont="1" applyBorder="1" applyAlignment="1">
      <alignment horizontal="center"/>
    </xf>
    <xf numFmtId="0" fontId="38" fillId="0" borderId="13" xfId="0" applyFont="1" applyBorder="1"/>
    <xf numFmtId="0" fontId="39" fillId="0" borderId="19" xfId="0" applyFont="1" applyBorder="1" applyAlignment="1">
      <alignment horizontal="center"/>
    </xf>
    <xf numFmtId="164" fontId="44" fillId="2" borderId="3" xfId="1" applyNumberFormat="1" applyFont="1" applyBorder="1" applyAlignment="1">
      <alignment horizontal="center"/>
    </xf>
    <xf numFmtId="0" fontId="38" fillId="0" borderId="12" xfId="0" applyFont="1" applyBorder="1"/>
    <xf numFmtId="0" fontId="39" fillId="0" borderId="4" xfId="0" applyFont="1" applyBorder="1" applyAlignment="1">
      <alignment horizontal="left"/>
    </xf>
    <xf numFmtId="1" fontId="41" fillId="4" borderId="5" xfId="3" applyNumberFormat="1" applyFont="1" applyBorder="1" applyAlignment="1">
      <alignment horizontal="center"/>
    </xf>
    <xf numFmtId="0" fontId="39" fillId="0" borderId="8" xfId="0" applyFont="1" applyBorder="1" applyAlignment="1">
      <alignment horizontal="left"/>
    </xf>
    <xf numFmtId="167" fontId="41" fillId="4" borderId="9" xfId="3" applyNumberFormat="1" applyFont="1" applyBorder="1" applyAlignment="1">
      <alignment horizontal="center"/>
    </xf>
    <xf numFmtId="3" fontId="41" fillId="4" borderId="5" xfId="3" applyNumberFormat="1" applyFont="1" applyBorder="1" applyAlignment="1">
      <alignment horizontal="center"/>
    </xf>
    <xf numFmtId="3" fontId="43" fillId="5" borderId="9" xfId="4" applyNumberFormat="1" applyFont="1" applyBorder="1" applyAlignment="1">
      <alignment horizontal="center"/>
    </xf>
    <xf numFmtId="0" fontId="37" fillId="15" borderId="4" xfId="0" applyFont="1" applyFill="1" applyBorder="1" applyAlignment="1">
      <alignment horizontal="center"/>
    </xf>
    <xf numFmtId="0" fontId="37" fillId="15" borderId="5" xfId="0" applyFont="1" applyFill="1" applyBorder="1" applyAlignment="1">
      <alignment horizontal="center"/>
    </xf>
    <xf numFmtId="166" fontId="38" fillId="0" borderId="0" xfId="0" applyNumberFormat="1" applyFont="1"/>
    <xf numFmtId="0" fontId="37" fillId="15" borderId="11" xfId="0" applyFont="1" applyFill="1" applyBorder="1" applyAlignment="1">
      <alignment horizontal="center"/>
    </xf>
    <xf numFmtId="0" fontId="38" fillId="0" borderId="6" xfId="0" applyFont="1" applyBorder="1" applyAlignment="1">
      <alignment horizontal="center"/>
    </xf>
    <xf numFmtId="166" fontId="38" fillId="0" borderId="7" xfId="0" applyNumberFormat="1" applyFont="1" applyBorder="1" applyAlignment="1">
      <alignment horizontal="center"/>
    </xf>
    <xf numFmtId="3" fontId="43" fillId="5" borderId="2" xfId="4" applyNumberFormat="1" applyFont="1" applyBorder="1" applyAlignment="1">
      <alignment horizontal="center"/>
    </xf>
    <xf numFmtId="1" fontId="42" fillId="3" borderId="2" xfId="2" applyNumberFormat="1" applyFont="1" applyBorder="1" applyAlignment="1">
      <alignment horizontal="center"/>
    </xf>
    <xf numFmtId="0" fontId="42" fillId="3" borderId="2" xfId="2" applyFont="1" applyBorder="1" applyAlignment="1">
      <alignment horizontal="center"/>
    </xf>
    <xf numFmtId="2" fontId="43" fillId="5" borderId="2" xfId="4" applyNumberFormat="1" applyFont="1" applyBorder="1" applyAlignment="1">
      <alignment horizontal="center"/>
    </xf>
    <xf numFmtId="1" fontId="43" fillId="5" borderId="2" xfId="4" applyNumberFormat="1" applyFont="1" applyBorder="1" applyAlignment="1">
      <alignment horizontal="center"/>
    </xf>
    <xf numFmtId="1" fontId="43" fillId="5" borderId="7" xfId="4" applyNumberFormat="1" applyFont="1" applyBorder="1" applyAlignment="1">
      <alignment horizontal="center"/>
    </xf>
    <xf numFmtId="3" fontId="43" fillId="5" borderId="14" xfId="4" applyNumberFormat="1" applyFont="1" applyBorder="1" applyAlignment="1">
      <alignment horizontal="center"/>
    </xf>
    <xf numFmtId="1" fontId="42" fillId="3" borderId="14" xfId="2" applyNumberFormat="1" applyFont="1" applyBorder="1" applyAlignment="1">
      <alignment horizontal="center"/>
    </xf>
    <xf numFmtId="0" fontId="42" fillId="3" borderId="14" xfId="2" applyFont="1" applyBorder="1" applyAlignment="1">
      <alignment horizontal="center"/>
    </xf>
    <xf numFmtId="2" fontId="43" fillId="5" borderId="14" xfId="4" applyNumberFormat="1" applyFont="1" applyBorder="1" applyAlignment="1">
      <alignment horizontal="center"/>
    </xf>
    <xf numFmtId="1" fontId="43" fillId="5" borderId="14" xfId="4" applyNumberFormat="1" applyFont="1" applyBorder="1" applyAlignment="1">
      <alignment horizontal="center"/>
    </xf>
    <xf numFmtId="1" fontId="43" fillId="5" borderId="9" xfId="4" applyNumberFormat="1" applyFont="1" applyBorder="1" applyAlignment="1">
      <alignment horizontal="center"/>
    </xf>
    <xf numFmtId="0" fontId="38" fillId="0" borderId="8" xfId="0" applyFont="1" applyBorder="1" applyAlignment="1">
      <alignment horizontal="center"/>
    </xf>
    <xf numFmtId="166" fontId="38" fillId="0" borderId="9" xfId="0" applyNumberFormat="1" applyFont="1" applyBorder="1" applyAlignment="1">
      <alignment horizontal="center"/>
    </xf>
    <xf numFmtId="0" fontId="38" fillId="0" borderId="15" xfId="0" applyFont="1" applyBorder="1" applyAlignment="1">
      <alignment horizontal="center"/>
    </xf>
    <xf numFmtId="166" fontId="38" fillId="0" borderId="15" xfId="0" applyNumberFormat="1" applyFont="1" applyBorder="1" applyAlignment="1">
      <alignment horizontal="center"/>
    </xf>
    <xf numFmtId="0" fontId="38" fillId="0" borderId="7" xfId="0" applyFont="1" applyBorder="1" applyAlignment="1">
      <alignment horizontal="center"/>
    </xf>
    <xf numFmtId="0" fontId="38" fillId="0" borderId="9" xfId="0" applyFont="1" applyBorder="1" applyAlignment="1">
      <alignment horizontal="center"/>
    </xf>
    <xf numFmtId="0" fontId="46" fillId="18" borderId="4" xfId="0" applyFont="1" applyFill="1" applyBorder="1" applyAlignment="1">
      <alignment horizontal="center"/>
    </xf>
    <xf numFmtId="0" fontId="46" fillId="18" borderId="5" xfId="0" applyFont="1" applyFill="1" applyBorder="1" applyAlignment="1">
      <alignment horizontal="center"/>
    </xf>
    <xf numFmtId="1" fontId="34" fillId="0" borderId="42" xfId="5" applyNumberFormat="1" applyFont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16" fillId="0" borderId="48" xfId="0" applyFont="1" applyBorder="1" applyAlignment="1">
      <alignment horizontal="left" vertical="center" wrapText="1" indent="1"/>
    </xf>
    <xf numFmtId="0" fontId="16" fillId="0" borderId="0" xfId="0" applyFont="1" applyAlignment="1">
      <alignment horizontal="left" vertical="center" wrapText="1" indent="1"/>
    </xf>
    <xf numFmtId="0" fontId="16" fillId="0" borderId="49" xfId="0" applyFont="1" applyBorder="1" applyAlignment="1">
      <alignment horizontal="left" vertical="center" wrapText="1" indent="1"/>
    </xf>
    <xf numFmtId="0" fontId="16" fillId="0" borderId="43" xfId="5" applyFont="1" applyBorder="1" applyAlignment="1">
      <alignment horizontal="left" vertical="center" wrapText="1" indent="1"/>
    </xf>
    <xf numFmtId="0" fontId="16" fillId="0" borderId="44" xfId="5" applyFont="1" applyBorder="1" applyAlignment="1">
      <alignment horizontal="left" vertical="center" wrapText="1" indent="1"/>
    </xf>
    <xf numFmtId="0" fontId="16" fillId="0" borderId="45" xfId="5" applyFont="1" applyBorder="1" applyAlignment="1">
      <alignment horizontal="left" vertical="center" wrapText="1" indent="1"/>
    </xf>
    <xf numFmtId="0" fontId="16" fillId="0" borderId="48" xfId="5" applyFont="1" applyBorder="1" applyAlignment="1">
      <alignment horizontal="left" vertical="center" wrapText="1" indent="1"/>
    </xf>
    <xf numFmtId="0" fontId="16" fillId="0" borderId="0" xfId="5" applyFont="1" applyAlignment="1">
      <alignment horizontal="left" vertical="center" wrapText="1" indent="1"/>
    </xf>
    <xf numFmtId="0" fontId="16" fillId="0" borderId="49" xfId="5" applyFont="1" applyBorder="1" applyAlignment="1">
      <alignment horizontal="left" vertical="center" wrapText="1" indent="1"/>
    </xf>
    <xf numFmtId="0" fontId="16" fillId="0" borderId="46" xfId="5" applyFont="1" applyBorder="1" applyAlignment="1">
      <alignment horizontal="left" vertical="center" wrapText="1" indent="1"/>
    </xf>
    <xf numFmtId="0" fontId="16" fillId="0" borderId="41" xfId="5" applyFont="1" applyBorder="1" applyAlignment="1">
      <alignment horizontal="left" vertical="center" wrapText="1" indent="1"/>
    </xf>
    <xf numFmtId="0" fontId="16" fillId="0" borderId="47" xfId="5" applyFont="1" applyBorder="1" applyAlignment="1">
      <alignment horizontal="left" vertical="center" wrapText="1" indent="1"/>
    </xf>
    <xf numFmtId="0" fontId="16" fillId="0" borderId="43" xfId="5" applyFont="1" applyBorder="1" applyAlignment="1">
      <alignment vertical="center" wrapText="1"/>
    </xf>
    <xf numFmtId="0" fontId="16" fillId="0" borderId="44" xfId="5" applyFont="1" applyBorder="1" applyAlignment="1">
      <alignment vertical="center" wrapText="1"/>
    </xf>
    <xf numFmtId="0" fontId="16" fillId="0" borderId="45" xfId="5" applyFont="1" applyBorder="1" applyAlignment="1">
      <alignment vertical="center" wrapText="1"/>
    </xf>
    <xf numFmtId="0" fontId="16" fillId="0" borderId="48" xfId="5" applyFont="1" applyBorder="1" applyAlignment="1">
      <alignment vertical="center" wrapText="1"/>
    </xf>
    <xf numFmtId="0" fontId="16" fillId="0" borderId="0" xfId="5" applyFont="1" applyAlignment="1">
      <alignment vertical="center" wrapText="1"/>
    </xf>
    <xf numFmtId="0" fontId="16" fillId="0" borderId="49" xfId="5" applyFont="1" applyBorder="1" applyAlignment="1">
      <alignment vertical="center" wrapText="1"/>
    </xf>
    <xf numFmtId="0" fontId="16" fillId="0" borderId="46" xfId="5" applyFont="1" applyBorder="1" applyAlignment="1">
      <alignment vertical="center" wrapText="1"/>
    </xf>
    <xf numFmtId="0" fontId="16" fillId="0" borderId="41" xfId="5" applyFont="1" applyBorder="1" applyAlignment="1">
      <alignment vertical="center" wrapText="1"/>
    </xf>
    <xf numFmtId="0" fontId="16" fillId="0" borderId="47" xfId="5" applyFont="1" applyBorder="1" applyAlignment="1">
      <alignment vertical="center" wrapText="1"/>
    </xf>
    <xf numFmtId="0" fontId="20" fillId="12" borderId="42" xfId="0" applyFont="1" applyFill="1" applyBorder="1" applyAlignment="1">
      <alignment horizontal="center" vertical="center"/>
    </xf>
    <xf numFmtId="0" fontId="21" fillId="13" borderId="43" xfId="0" applyFont="1" applyFill="1" applyBorder="1" applyAlignment="1">
      <alignment horizontal="center" vertical="center"/>
    </xf>
    <xf numFmtId="0" fontId="21" fillId="13" borderId="44" xfId="0" applyFont="1" applyFill="1" applyBorder="1" applyAlignment="1">
      <alignment horizontal="center" vertical="center"/>
    </xf>
    <xf numFmtId="0" fontId="21" fillId="13" borderId="45" xfId="0" applyFont="1" applyFill="1" applyBorder="1" applyAlignment="1">
      <alignment horizontal="center" vertical="center"/>
    </xf>
    <xf numFmtId="0" fontId="21" fillId="13" borderId="46" xfId="0" applyFont="1" applyFill="1" applyBorder="1" applyAlignment="1">
      <alignment horizontal="center" vertical="center"/>
    </xf>
    <xf numFmtId="0" fontId="21" fillId="13" borderId="41" xfId="0" applyFont="1" applyFill="1" applyBorder="1" applyAlignment="1">
      <alignment horizontal="center" vertical="center"/>
    </xf>
    <xf numFmtId="0" fontId="21" fillId="13" borderId="47" xfId="0" applyFont="1" applyFill="1" applyBorder="1" applyAlignment="1">
      <alignment horizontal="center" vertical="center"/>
    </xf>
    <xf numFmtId="0" fontId="17" fillId="14" borderId="42" xfId="0" applyFont="1" applyFill="1" applyBorder="1" applyAlignment="1">
      <alignment horizontal="center" vertical="center"/>
    </xf>
    <xf numFmtId="0" fontId="7" fillId="0" borderId="0" xfId="5"/>
    <xf numFmtId="0" fontId="14" fillId="11" borderId="0" xfId="0" applyFont="1" applyFill="1" applyAlignment="1">
      <alignment horizontal="center" vertical="center"/>
    </xf>
    <xf numFmtId="0" fontId="15" fillId="0" borderId="0" xfId="5" applyFont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30" fillId="11" borderId="0" xfId="5" applyFont="1" applyFill="1" applyAlignment="1">
      <alignment horizontal="center" vertical="center"/>
    </xf>
    <xf numFmtId="0" fontId="40" fillId="13" borderId="24" xfId="0" applyFont="1" applyFill="1" applyBorder="1" applyAlignment="1">
      <alignment horizontal="center"/>
    </xf>
    <xf numFmtId="0" fontId="40" fillId="13" borderId="25" xfId="0" applyFont="1" applyFill="1" applyBorder="1" applyAlignment="1">
      <alignment horizontal="center"/>
    </xf>
    <xf numFmtId="0" fontId="40" fillId="13" borderId="36" xfId="0" applyFont="1" applyFill="1" applyBorder="1" applyAlignment="1">
      <alignment horizontal="center"/>
    </xf>
    <xf numFmtId="0" fontId="40" fillId="13" borderId="26" xfId="0" applyFont="1" applyFill="1" applyBorder="1" applyAlignment="1">
      <alignment horizontal="center"/>
    </xf>
    <xf numFmtId="0" fontId="40" fillId="13" borderId="27" xfId="0" applyFont="1" applyFill="1" applyBorder="1" applyAlignment="1">
      <alignment horizontal="center" vertical="center"/>
    </xf>
    <xf numFmtId="0" fontId="40" fillId="13" borderId="28" xfId="0" applyFont="1" applyFill="1" applyBorder="1" applyAlignment="1">
      <alignment horizontal="center" vertical="center"/>
    </xf>
    <xf numFmtId="0" fontId="40" fillId="13" borderId="33" xfId="0" applyFont="1" applyFill="1" applyBorder="1" applyAlignment="1">
      <alignment horizontal="center" vertical="center"/>
    </xf>
    <xf numFmtId="0" fontId="40" fillId="13" borderId="29" xfId="0" applyFont="1" applyFill="1" applyBorder="1" applyAlignment="1">
      <alignment horizontal="center" vertical="center"/>
    </xf>
    <xf numFmtId="0" fontId="37" fillId="17" borderId="24" xfId="0" applyFont="1" applyFill="1" applyBorder="1" applyAlignment="1">
      <alignment horizontal="center" vertical="center"/>
    </xf>
    <xf numFmtId="0" fontId="37" fillId="17" borderId="25" xfId="0" applyFont="1" applyFill="1" applyBorder="1" applyAlignment="1">
      <alignment horizontal="center" vertical="center"/>
    </xf>
    <xf numFmtId="0" fontId="37" fillId="17" borderId="26" xfId="0" applyFont="1" applyFill="1" applyBorder="1" applyAlignment="1">
      <alignment horizontal="center" vertical="center"/>
    </xf>
    <xf numFmtId="0" fontId="31" fillId="11" borderId="0" xfId="0" applyFont="1" applyFill="1" applyAlignment="1">
      <alignment horizontal="center" vertical="center"/>
    </xf>
    <xf numFmtId="0" fontId="34" fillId="0" borderId="0" xfId="0" applyFont="1" applyAlignment="1">
      <alignment horizontal="left" wrapText="1" indent="1"/>
    </xf>
    <xf numFmtId="0" fontId="33" fillId="12" borderId="42" xfId="0" applyFont="1" applyFill="1" applyBorder="1" applyAlignment="1">
      <alignment horizontal="center" vertical="center"/>
    </xf>
    <xf numFmtId="0" fontId="0" fillId="0" borderId="0" xfId="0"/>
    <xf numFmtId="0" fontId="32" fillId="16" borderId="43" xfId="0" applyFont="1" applyFill="1" applyBorder="1" applyAlignment="1">
      <alignment horizontal="center" vertical="center"/>
    </xf>
    <xf numFmtId="0" fontId="32" fillId="16" borderId="44" xfId="0" applyFont="1" applyFill="1" applyBorder="1" applyAlignment="1">
      <alignment horizontal="center" vertical="center"/>
    </xf>
    <xf numFmtId="0" fontId="32" fillId="16" borderId="45" xfId="0" applyFont="1" applyFill="1" applyBorder="1" applyAlignment="1">
      <alignment horizontal="center" vertical="center"/>
    </xf>
    <xf numFmtId="0" fontId="32" fillId="16" borderId="48" xfId="0" applyFont="1" applyFill="1" applyBorder="1" applyAlignment="1">
      <alignment horizontal="center" vertical="center"/>
    </xf>
    <xf numFmtId="0" fontId="32" fillId="16" borderId="0" xfId="0" applyFont="1" applyFill="1" applyAlignment="1">
      <alignment horizontal="center" vertical="center"/>
    </xf>
    <xf numFmtId="0" fontId="32" fillId="16" borderId="49" xfId="0" applyFont="1" applyFill="1" applyBorder="1" applyAlignment="1">
      <alignment horizontal="center" vertical="center"/>
    </xf>
    <xf numFmtId="0" fontId="32" fillId="16" borderId="46" xfId="0" applyFont="1" applyFill="1" applyBorder="1" applyAlignment="1">
      <alignment horizontal="center" vertical="center"/>
    </xf>
    <xf numFmtId="0" fontId="32" fillId="16" borderId="41" xfId="0" applyFont="1" applyFill="1" applyBorder="1" applyAlignment="1">
      <alignment horizontal="center" vertical="center"/>
    </xf>
    <xf numFmtId="0" fontId="32" fillId="16" borderId="47" xfId="0" applyFont="1" applyFill="1" applyBorder="1" applyAlignment="1">
      <alignment horizontal="center" vertical="center"/>
    </xf>
    <xf numFmtId="0" fontId="33" fillId="15" borderId="42" xfId="0" applyFont="1" applyFill="1" applyBorder="1" applyAlignment="1">
      <alignment horizontal="center" vertical="center"/>
    </xf>
  </cellXfs>
  <cellStyles count="10">
    <cellStyle name="Bad" xfId="2" builtinId="27"/>
    <cellStyle name="Calculation" xfId="4" builtinId="22"/>
    <cellStyle name="Check Cell" xfId="9" builtinId="23"/>
    <cellStyle name="Currency" xfId="8" builtinId="4"/>
    <cellStyle name="Good" xfId="1" builtinId="26"/>
    <cellStyle name="Input" xfId="3" builtinId="20"/>
    <cellStyle name="Normal" xfId="0" builtinId="0" customBuiltin="1"/>
    <cellStyle name="Normal 2" xfId="5" xr:uid="{87ED12F9-D631-40A7-BF72-C55B99E45859}"/>
    <cellStyle name="Normal 3" xfId="7" xr:uid="{B705E7DB-3B3D-425B-B21F-64F1581BBDE8}"/>
    <cellStyle name="Percent" xfId="6" builtinId="5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CE9D8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9ED9"/>
      <color rgb="FF6599CD"/>
      <color rgb="FFBCD9EF"/>
      <color rgb="FF000B4F"/>
      <color rgb="FF1E6AA4"/>
      <color rgb="FF0B7739"/>
      <color rgb="FF00B0F0"/>
      <color rgb="FFD5DCE4"/>
      <color rgb="FF72B2EF"/>
      <color rgb="FF003A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Capacity</a:t>
            </a:r>
            <a:r>
              <a:rPr lang="en-US" baseline="0"/>
              <a:t> and NPV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Report!$C$19:$C$22</c:f>
              <c:numCache>
                <c:formatCode>General</c:formatCode>
                <c:ptCount val="4"/>
                <c:pt idx="0">
                  <c:v>30000</c:v>
                </c:pt>
                <c:pt idx="1">
                  <c:v>35000</c:v>
                </c:pt>
                <c:pt idx="2">
                  <c:v>40000</c:v>
                </c:pt>
                <c:pt idx="3">
                  <c:v>45000</c:v>
                </c:pt>
              </c:numCache>
            </c:numRef>
          </c:cat>
          <c:val>
            <c:numRef>
              <c:f>Report!$D$19:$D$22</c:f>
              <c:numCache>
                <c:formatCode>"$"#,##0.00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D-CC4B-9133-F18A543C5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8097247"/>
        <c:axId val="2086025455"/>
      </c:lineChart>
      <c:catAx>
        <c:axId val="207809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025455"/>
        <c:crosses val="autoZero"/>
        <c:auto val="1"/>
        <c:lblAlgn val="ctr"/>
        <c:lblOffset val="100"/>
        <c:noMultiLvlLbl val="0"/>
      </c:catAx>
      <c:valAx>
        <c:axId val="2086025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80972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NPV with Different Capacity</a:t>
            </a:r>
            <a:r>
              <a:rPr lang="en-CA" baseline="0"/>
              <a:t> Scenarios</a:t>
            </a: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Outputs!$D$19:$D$25</c:f>
              <c:numCache>
                <c:formatCode>0</c:formatCode>
                <c:ptCount val="7"/>
                <c:pt idx="0">
                  <c:v>25000</c:v>
                </c:pt>
                <c:pt idx="1">
                  <c:v>28000</c:v>
                </c:pt>
                <c:pt idx="2">
                  <c:v>31000</c:v>
                </c:pt>
                <c:pt idx="3">
                  <c:v>34000</c:v>
                </c:pt>
                <c:pt idx="4">
                  <c:v>37000</c:v>
                </c:pt>
                <c:pt idx="5">
                  <c:v>40000</c:v>
                </c:pt>
                <c:pt idx="6">
                  <c:v>43000</c:v>
                </c:pt>
              </c:numCache>
            </c:numRef>
          </c:cat>
          <c:val>
            <c:numRef>
              <c:f>Outputs!$E$19:$E$25</c:f>
              <c:numCache>
                <c:formatCode>"$"#,##0.00</c:formatCode>
                <c:ptCount val="7"/>
                <c:pt idx="0">
                  <c:v>157699.25433999998</c:v>
                </c:pt>
                <c:pt idx="1">
                  <c:v>173105.35446</c:v>
                </c:pt>
                <c:pt idx="2">
                  <c:v>202654.32239000004</c:v>
                </c:pt>
                <c:pt idx="3">
                  <c:v>209171.94162</c:v>
                </c:pt>
                <c:pt idx="4">
                  <c:v>202274.25521000003</c:v>
                </c:pt>
                <c:pt idx="5">
                  <c:v>216029.69066000002</c:v>
                </c:pt>
                <c:pt idx="6">
                  <c:v>209807.03695000004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EB-E245-9BB6-2A19E48CD1F3}"/>
            </c:ext>
          </c:extLst>
        </c:ser>
        <c:ser>
          <c:idx val="0"/>
          <c:order val="1"/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Outputs!$D$19:$D$25</c:f>
              <c:numCache>
                <c:formatCode>0</c:formatCode>
                <c:ptCount val="7"/>
                <c:pt idx="0">
                  <c:v>25000</c:v>
                </c:pt>
                <c:pt idx="1">
                  <c:v>28000</c:v>
                </c:pt>
                <c:pt idx="2">
                  <c:v>31000</c:v>
                </c:pt>
                <c:pt idx="3">
                  <c:v>34000</c:v>
                </c:pt>
                <c:pt idx="4">
                  <c:v>37000</c:v>
                </c:pt>
                <c:pt idx="5">
                  <c:v>40000</c:v>
                </c:pt>
                <c:pt idx="6">
                  <c:v>43000</c:v>
                </c:pt>
              </c:numCache>
            </c:numRef>
          </c:cat>
          <c:val>
            <c:numRef>
              <c:f>Outputs!$E$19:$E$25</c:f>
              <c:numCache>
                <c:formatCode>"$"#,##0.00</c:formatCode>
                <c:ptCount val="7"/>
                <c:pt idx="0">
                  <c:v>157699.25433999998</c:v>
                </c:pt>
                <c:pt idx="1">
                  <c:v>173105.35446</c:v>
                </c:pt>
                <c:pt idx="2">
                  <c:v>202654.32239000004</c:v>
                </c:pt>
                <c:pt idx="3">
                  <c:v>209171.94162</c:v>
                </c:pt>
                <c:pt idx="4">
                  <c:v>202274.25521000003</c:v>
                </c:pt>
                <c:pt idx="5">
                  <c:v>216029.69066000002</c:v>
                </c:pt>
                <c:pt idx="6">
                  <c:v>209807.03695000004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EB-E245-9BB6-2A19E48CD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4017264"/>
        <c:axId val="1804002384"/>
      </c:lineChart>
      <c:catAx>
        <c:axId val="1804017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crossAx val="1804002384"/>
        <c:crosses val="autoZero"/>
        <c:auto val="1"/>
        <c:lblAlgn val="ctr"/>
        <c:lblOffset val="100"/>
        <c:noMultiLvlLbl val="0"/>
      </c:catAx>
      <c:valAx>
        <c:axId val="180400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 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017264"/>
        <c:crosses val="autoZero"/>
        <c:crossBetween val="between"/>
      </c:valAx>
    </c:plotArea>
    <c:plotVisOnly val="1"/>
    <c:dispBlanksAs val="gap"/>
    <c:showDLblsOverMax val="0"/>
    <c:extLst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NPV with Different Capacity Scenarios</a:t>
            </a:r>
          </a:p>
          <a:p>
            <a:pPr algn="ctr" rtl="0"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3A6A"/>
            </a:solidFill>
            <a:ln>
              <a:solidFill>
                <a:srgbClr val="1E6AA4"/>
              </a:solidFill>
            </a:ln>
            <a:effectLst/>
          </c:spPr>
          <c:invertIfNegative val="0"/>
          <c:cat>
            <c:numRef>
              <c:f>Outputs!$D$19:$D$25</c:f>
              <c:numCache>
                <c:formatCode>0</c:formatCode>
                <c:ptCount val="7"/>
                <c:pt idx="0">
                  <c:v>25000</c:v>
                </c:pt>
                <c:pt idx="1">
                  <c:v>28000</c:v>
                </c:pt>
                <c:pt idx="2">
                  <c:v>31000</c:v>
                </c:pt>
                <c:pt idx="3">
                  <c:v>34000</c:v>
                </c:pt>
                <c:pt idx="4">
                  <c:v>37000</c:v>
                </c:pt>
                <c:pt idx="5">
                  <c:v>40000</c:v>
                </c:pt>
                <c:pt idx="6">
                  <c:v>43000</c:v>
                </c:pt>
              </c:numCache>
            </c:numRef>
          </c:cat>
          <c:val>
            <c:numRef>
              <c:f>Outputs!$E$19:$E$25</c:f>
              <c:numCache>
                <c:formatCode>"$"#,##0.00</c:formatCode>
                <c:ptCount val="7"/>
                <c:pt idx="0">
                  <c:v>157699.25433999998</c:v>
                </c:pt>
                <c:pt idx="1">
                  <c:v>173105.35446</c:v>
                </c:pt>
                <c:pt idx="2">
                  <c:v>202654.32239000004</c:v>
                </c:pt>
                <c:pt idx="3">
                  <c:v>209171.94162</c:v>
                </c:pt>
                <c:pt idx="4">
                  <c:v>202274.25521000003</c:v>
                </c:pt>
                <c:pt idx="5">
                  <c:v>216029.69066000002</c:v>
                </c:pt>
                <c:pt idx="6">
                  <c:v>209807.03695000004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C0-4425-8AE0-797B73A2C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04017264"/>
        <c:axId val="1804002384"/>
      </c:barChart>
      <c:catAx>
        <c:axId val="1804017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002384"/>
        <c:crosses val="autoZero"/>
        <c:auto val="1"/>
        <c:lblAlgn val="ctr"/>
        <c:lblOffset val="100"/>
        <c:noMultiLvlLbl val="0"/>
      </c:catAx>
      <c:valAx>
        <c:axId val="180400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 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01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Mean, Min, Max &amp; STD with Different Capacity Scenarios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Outputs!$E$17</c:f>
              <c:strCache>
                <c:ptCount val="1"/>
                <c:pt idx="0">
                  <c:v>Mean</c:v>
                </c:pt>
              </c:strCache>
            </c:strRef>
          </c:tx>
          <c:spPr>
            <a:ln w="28575" cap="rnd">
              <a:solidFill>
                <a:srgbClr val="1E6AA4"/>
              </a:solidFill>
              <a:round/>
            </a:ln>
            <a:effectLst/>
          </c:spPr>
          <c:marker>
            <c:symbol val="none"/>
          </c:marker>
          <c:cat>
            <c:numRef>
              <c:f>Outputs!$D$19:$D$25</c:f>
              <c:numCache>
                <c:formatCode>0</c:formatCode>
                <c:ptCount val="7"/>
                <c:pt idx="0">
                  <c:v>25000</c:v>
                </c:pt>
                <c:pt idx="1">
                  <c:v>28000</c:v>
                </c:pt>
                <c:pt idx="2">
                  <c:v>31000</c:v>
                </c:pt>
                <c:pt idx="3">
                  <c:v>34000</c:v>
                </c:pt>
                <c:pt idx="4">
                  <c:v>37000</c:v>
                </c:pt>
                <c:pt idx="5">
                  <c:v>40000</c:v>
                </c:pt>
                <c:pt idx="6">
                  <c:v>43000</c:v>
                </c:pt>
              </c:numCache>
            </c:numRef>
          </c:cat>
          <c:val>
            <c:numRef>
              <c:f>Outputs!$E$18:$E$25</c:f>
              <c:numCache>
                <c:formatCode>"$"#,##0.00</c:formatCode>
                <c:ptCount val="8"/>
                <c:pt idx="1">
                  <c:v>157699.25433999998</c:v>
                </c:pt>
                <c:pt idx="2">
                  <c:v>173105.35446</c:v>
                </c:pt>
                <c:pt idx="3">
                  <c:v>202654.32239000004</c:v>
                </c:pt>
                <c:pt idx="4">
                  <c:v>209171.94162</c:v>
                </c:pt>
                <c:pt idx="5">
                  <c:v>202274.25521000003</c:v>
                </c:pt>
                <c:pt idx="6">
                  <c:v>216029.69066000002</c:v>
                </c:pt>
                <c:pt idx="7">
                  <c:v>209807.03695000004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6B-434F-98BC-1BC515A1D00E}"/>
            </c:ext>
          </c:extLst>
        </c:ser>
        <c:ser>
          <c:idx val="2"/>
          <c:order val="1"/>
          <c:tx>
            <c:strRef>
              <c:f>Outputs!$F$17</c:f>
              <c:strCache>
                <c:ptCount val="1"/>
                <c:pt idx="0">
                  <c:v>Minimum</c:v>
                </c:pt>
              </c:strCache>
            </c:strRef>
          </c:tx>
          <c:spPr>
            <a:ln w="28575" cap="rnd">
              <a:solidFill>
                <a:srgbClr val="0B7739"/>
              </a:solidFill>
              <a:round/>
            </a:ln>
            <a:effectLst/>
          </c:spPr>
          <c:marker>
            <c:symbol val="none"/>
          </c:marker>
          <c:cat>
            <c:numRef>
              <c:f>Outputs!$D$19:$D$25</c:f>
              <c:numCache>
                <c:formatCode>0</c:formatCode>
                <c:ptCount val="7"/>
                <c:pt idx="0">
                  <c:v>25000</c:v>
                </c:pt>
                <c:pt idx="1">
                  <c:v>28000</c:v>
                </c:pt>
                <c:pt idx="2">
                  <c:v>31000</c:v>
                </c:pt>
                <c:pt idx="3">
                  <c:v>34000</c:v>
                </c:pt>
                <c:pt idx="4">
                  <c:v>37000</c:v>
                </c:pt>
                <c:pt idx="5">
                  <c:v>40000</c:v>
                </c:pt>
                <c:pt idx="6">
                  <c:v>43000</c:v>
                </c:pt>
              </c:numCache>
            </c:numRef>
          </c:cat>
          <c:val>
            <c:numRef>
              <c:f>Outputs!$F$18:$F$25</c:f>
              <c:numCache>
                <c:formatCode>"$"#,##0.00</c:formatCode>
                <c:ptCount val="8"/>
                <c:pt idx="1">
                  <c:v>138920.96290000001</c:v>
                </c:pt>
                <c:pt idx="2">
                  <c:v>142531.72390000001</c:v>
                </c:pt>
                <c:pt idx="3">
                  <c:v>167226.15919999999</c:v>
                </c:pt>
                <c:pt idx="4">
                  <c:v>155895.8756</c:v>
                </c:pt>
                <c:pt idx="5">
                  <c:v>161500.10089999999</c:v>
                </c:pt>
                <c:pt idx="6">
                  <c:v>167045.58119999999</c:v>
                </c:pt>
                <c:pt idx="7">
                  <c:v>138733.7113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6B-434F-98BC-1BC515A1D00E}"/>
            </c:ext>
          </c:extLst>
        </c:ser>
        <c:ser>
          <c:idx val="3"/>
          <c:order val="2"/>
          <c:tx>
            <c:strRef>
              <c:f>Outputs!$G$17</c:f>
              <c:strCache>
                <c:ptCount val="1"/>
                <c:pt idx="0">
                  <c:v>Maximum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Outputs!$D$19:$D$25</c:f>
              <c:numCache>
                <c:formatCode>0</c:formatCode>
                <c:ptCount val="7"/>
                <c:pt idx="0">
                  <c:v>25000</c:v>
                </c:pt>
                <c:pt idx="1">
                  <c:v>28000</c:v>
                </c:pt>
                <c:pt idx="2">
                  <c:v>31000</c:v>
                </c:pt>
                <c:pt idx="3">
                  <c:v>34000</c:v>
                </c:pt>
                <c:pt idx="4">
                  <c:v>37000</c:v>
                </c:pt>
                <c:pt idx="5">
                  <c:v>40000</c:v>
                </c:pt>
                <c:pt idx="6">
                  <c:v>43000</c:v>
                </c:pt>
              </c:numCache>
            </c:numRef>
          </c:cat>
          <c:val>
            <c:numRef>
              <c:f>Outputs!$G$18:$G$25</c:f>
              <c:numCache>
                <c:formatCode>"$"#,##0.00</c:formatCode>
                <c:ptCount val="8"/>
                <c:pt idx="1">
                  <c:v>185142.68109999999</c:v>
                </c:pt>
                <c:pt idx="2">
                  <c:v>194448.60740000001</c:v>
                </c:pt>
                <c:pt idx="3">
                  <c:v>236990.0913</c:v>
                </c:pt>
                <c:pt idx="4">
                  <c:v>260256.32060000001</c:v>
                </c:pt>
                <c:pt idx="5">
                  <c:v>242094.3241</c:v>
                </c:pt>
                <c:pt idx="6">
                  <c:v>249192.6415</c:v>
                </c:pt>
                <c:pt idx="7">
                  <c:v>261797.62710000001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26B-434F-98BC-1BC515A1D00E}"/>
            </c:ext>
          </c:extLst>
        </c:ser>
        <c:ser>
          <c:idx val="4"/>
          <c:order val="3"/>
          <c:tx>
            <c:strRef>
              <c:f>Outputs!$H$17</c:f>
              <c:strCache>
                <c:ptCount val="1"/>
                <c:pt idx="0">
                  <c:v>Standard Deviation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Outputs!$D$19:$D$25</c:f>
              <c:numCache>
                <c:formatCode>0</c:formatCode>
                <c:ptCount val="7"/>
                <c:pt idx="0">
                  <c:v>25000</c:v>
                </c:pt>
                <c:pt idx="1">
                  <c:v>28000</c:v>
                </c:pt>
                <c:pt idx="2">
                  <c:v>31000</c:v>
                </c:pt>
                <c:pt idx="3">
                  <c:v>34000</c:v>
                </c:pt>
                <c:pt idx="4">
                  <c:v>37000</c:v>
                </c:pt>
                <c:pt idx="5">
                  <c:v>40000</c:v>
                </c:pt>
                <c:pt idx="6">
                  <c:v>43000</c:v>
                </c:pt>
              </c:numCache>
            </c:numRef>
          </c:cat>
          <c:val>
            <c:numRef>
              <c:f>Outputs!$H$18:$H$25</c:f>
              <c:numCache>
                <c:formatCode>"$"#,##0.00</c:formatCode>
                <c:ptCount val="8"/>
                <c:pt idx="1">
                  <c:v>13816.733798101099</c:v>
                </c:pt>
                <c:pt idx="2">
                  <c:v>16843.485337891292</c:v>
                </c:pt>
                <c:pt idx="3">
                  <c:v>19787.900396544515</c:v>
                </c:pt>
                <c:pt idx="4">
                  <c:v>36321.122143512541</c:v>
                </c:pt>
                <c:pt idx="5">
                  <c:v>27137.800788734166</c:v>
                </c:pt>
                <c:pt idx="6">
                  <c:v>24751.047386085404</c:v>
                </c:pt>
                <c:pt idx="7">
                  <c:v>35472.475697434609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26B-434F-98BC-1BC515A1D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2515327"/>
        <c:axId val="852838399"/>
      </c:lineChart>
      <c:catAx>
        <c:axId val="85251532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2838399"/>
        <c:crosses val="autoZero"/>
        <c:auto val="1"/>
        <c:lblAlgn val="ctr"/>
        <c:lblOffset val="100"/>
        <c:noMultiLvlLbl val="0"/>
      </c:catAx>
      <c:valAx>
        <c:axId val="85283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251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rnd" cmpd="sng" algn="ctr">
      <a:solidFill>
        <a:schemeClr val="dk1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&amp; Max with Different Capacity Scenarios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Outputs!$F$17</c:f>
              <c:strCache>
                <c:ptCount val="1"/>
                <c:pt idx="0">
                  <c:v>Minimum</c:v>
                </c:pt>
              </c:strCache>
            </c:strRef>
          </c:tx>
          <c:spPr>
            <a:ln w="28575" cap="rnd">
              <a:solidFill>
                <a:srgbClr val="BCD9EF"/>
              </a:solidFill>
              <a:round/>
            </a:ln>
            <a:effectLst/>
          </c:spPr>
          <c:marker>
            <c:symbol val="none"/>
          </c:marker>
          <c:cat>
            <c:numRef>
              <c:f>Outputs!$D$19:$D$25</c:f>
              <c:numCache>
                <c:formatCode>0</c:formatCode>
                <c:ptCount val="7"/>
                <c:pt idx="0">
                  <c:v>25000</c:v>
                </c:pt>
                <c:pt idx="1">
                  <c:v>28000</c:v>
                </c:pt>
                <c:pt idx="2">
                  <c:v>31000</c:v>
                </c:pt>
                <c:pt idx="3">
                  <c:v>34000</c:v>
                </c:pt>
                <c:pt idx="4">
                  <c:v>37000</c:v>
                </c:pt>
                <c:pt idx="5">
                  <c:v>40000</c:v>
                </c:pt>
                <c:pt idx="6">
                  <c:v>43000</c:v>
                </c:pt>
              </c:numCache>
            </c:numRef>
          </c:cat>
          <c:val>
            <c:numRef>
              <c:f>Outputs!$F$18:$F$25</c:f>
              <c:numCache>
                <c:formatCode>"$"#,##0.00</c:formatCode>
                <c:ptCount val="8"/>
                <c:pt idx="1">
                  <c:v>138920.96290000001</c:v>
                </c:pt>
                <c:pt idx="2">
                  <c:v>142531.72390000001</c:v>
                </c:pt>
                <c:pt idx="3">
                  <c:v>167226.15919999999</c:v>
                </c:pt>
                <c:pt idx="4">
                  <c:v>155895.8756</c:v>
                </c:pt>
                <c:pt idx="5">
                  <c:v>161500.10089999999</c:v>
                </c:pt>
                <c:pt idx="6">
                  <c:v>167045.58119999999</c:v>
                </c:pt>
                <c:pt idx="7">
                  <c:v>138733.7113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20-BC49-A4D4-0C51058C53CA}"/>
            </c:ext>
          </c:extLst>
        </c:ser>
        <c:ser>
          <c:idx val="1"/>
          <c:order val="1"/>
          <c:tx>
            <c:strRef>
              <c:f>Outputs!$G$17</c:f>
              <c:strCache>
                <c:ptCount val="1"/>
                <c:pt idx="0">
                  <c:v>Maximum</c:v>
                </c:pt>
              </c:strCache>
            </c:strRef>
          </c:tx>
          <c:spPr>
            <a:ln w="28575" cap="rnd">
              <a:solidFill>
                <a:srgbClr val="6599CD"/>
              </a:solidFill>
              <a:round/>
            </a:ln>
            <a:effectLst/>
          </c:spPr>
          <c:marker>
            <c:symbol val="none"/>
          </c:marker>
          <c:cat>
            <c:numRef>
              <c:f>Outputs!$D$19:$D$25</c:f>
              <c:numCache>
                <c:formatCode>0</c:formatCode>
                <c:ptCount val="7"/>
                <c:pt idx="0">
                  <c:v>25000</c:v>
                </c:pt>
                <c:pt idx="1">
                  <c:v>28000</c:v>
                </c:pt>
                <c:pt idx="2">
                  <c:v>31000</c:v>
                </c:pt>
                <c:pt idx="3">
                  <c:v>34000</c:v>
                </c:pt>
                <c:pt idx="4">
                  <c:v>37000</c:v>
                </c:pt>
                <c:pt idx="5">
                  <c:v>40000</c:v>
                </c:pt>
                <c:pt idx="6">
                  <c:v>43000</c:v>
                </c:pt>
              </c:numCache>
            </c:numRef>
          </c:cat>
          <c:val>
            <c:numRef>
              <c:f>Outputs!$G$18:$G$25</c:f>
              <c:numCache>
                <c:formatCode>"$"#,##0.00</c:formatCode>
                <c:ptCount val="8"/>
                <c:pt idx="1">
                  <c:v>185142.68109999999</c:v>
                </c:pt>
                <c:pt idx="2">
                  <c:v>194448.60740000001</c:v>
                </c:pt>
                <c:pt idx="3">
                  <c:v>236990.0913</c:v>
                </c:pt>
                <c:pt idx="4">
                  <c:v>260256.32060000001</c:v>
                </c:pt>
                <c:pt idx="5">
                  <c:v>242094.3241</c:v>
                </c:pt>
                <c:pt idx="6">
                  <c:v>249192.6415</c:v>
                </c:pt>
                <c:pt idx="7">
                  <c:v>261797.62710000001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20-BC49-A4D4-0C51058C5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7230671"/>
        <c:axId val="1968098095"/>
      </c:lineChart>
      <c:catAx>
        <c:axId val="19972306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098095"/>
        <c:crosses val="autoZero"/>
        <c:auto val="1"/>
        <c:lblAlgn val="ctr"/>
        <c:lblOffset val="100"/>
        <c:noMultiLvlLbl val="0"/>
      </c:catAx>
      <c:valAx>
        <c:axId val="196809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7230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rnd" cmpd="sng" algn="ctr">
      <a:solidFill>
        <a:schemeClr val="dk1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Lower &amp; Upper Bound with Different Capacity Scenarios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Outputs!$J$17</c:f>
              <c:strCache>
                <c:ptCount val="1"/>
                <c:pt idx="0">
                  <c:v>Lower-Bound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Outputs!$D$19:$D$25</c:f>
              <c:numCache>
                <c:formatCode>0</c:formatCode>
                <c:ptCount val="7"/>
                <c:pt idx="0">
                  <c:v>25000</c:v>
                </c:pt>
                <c:pt idx="1">
                  <c:v>28000</c:v>
                </c:pt>
                <c:pt idx="2">
                  <c:v>31000</c:v>
                </c:pt>
                <c:pt idx="3">
                  <c:v>34000</c:v>
                </c:pt>
                <c:pt idx="4">
                  <c:v>37000</c:v>
                </c:pt>
                <c:pt idx="5">
                  <c:v>40000</c:v>
                </c:pt>
                <c:pt idx="6">
                  <c:v>43000</c:v>
                </c:pt>
              </c:numCache>
            </c:numRef>
          </c:cat>
          <c:val>
            <c:numRef>
              <c:f>Outputs!$J$18:$J$25</c:f>
              <c:numCache>
                <c:formatCode>0.00</c:formatCode>
                <c:ptCount val="8"/>
                <c:pt idx="1">
                  <c:v>150511.86299098539</c:v>
                </c:pt>
                <c:pt idx="2">
                  <c:v>164343.46307714281</c:v>
                </c:pt>
                <c:pt idx="3">
                  <c:v>192360.76197235397</c:v>
                </c:pt>
                <c:pt idx="4">
                  <c:v>190277.88728737168</c:v>
                </c:pt>
                <c:pt idx="5">
                  <c:v>188157.31574583839</c:v>
                </c:pt>
                <c:pt idx="6">
                  <c:v>203154.32760666759</c:v>
                </c:pt>
                <c:pt idx="7">
                  <c:v>191354.44397966203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5D-6241-BE17-CB6A3D6707ED}"/>
            </c:ext>
          </c:extLst>
        </c:ser>
        <c:ser>
          <c:idx val="1"/>
          <c:order val="1"/>
          <c:tx>
            <c:strRef>
              <c:f>Outputs!$K$17</c:f>
              <c:strCache>
                <c:ptCount val="1"/>
                <c:pt idx="0">
                  <c:v>Upper Bound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Outputs!$D$19:$D$25</c:f>
              <c:numCache>
                <c:formatCode>0</c:formatCode>
                <c:ptCount val="7"/>
                <c:pt idx="0">
                  <c:v>25000</c:v>
                </c:pt>
                <c:pt idx="1">
                  <c:v>28000</c:v>
                </c:pt>
                <c:pt idx="2">
                  <c:v>31000</c:v>
                </c:pt>
                <c:pt idx="3">
                  <c:v>34000</c:v>
                </c:pt>
                <c:pt idx="4">
                  <c:v>37000</c:v>
                </c:pt>
                <c:pt idx="5">
                  <c:v>40000</c:v>
                </c:pt>
                <c:pt idx="6">
                  <c:v>43000</c:v>
                </c:pt>
              </c:numCache>
            </c:numRef>
          </c:cat>
          <c:val>
            <c:numRef>
              <c:f>Outputs!$K$18:$K$25</c:f>
              <c:numCache>
                <c:formatCode>0.00</c:formatCode>
                <c:ptCount val="8"/>
                <c:pt idx="1">
                  <c:v>164886.64568901458</c:v>
                </c:pt>
                <c:pt idx="2">
                  <c:v>181867.2458428572</c:v>
                </c:pt>
                <c:pt idx="3">
                  <c:v>212947.88280764612</c:v>
                </c:pt>
                <c:pt idx="4">
                  <c:v>228065.99595262832</c:v>
                </c:pt>
                <c:pt idx="5">
                  <c:v>216391.19467416167</c:v>
                </c:pt>
                <c:pt idx="6">
                  <c:v>228905.05371333245</c:v>
                </c:pt>
                <c:pt idx="7">
                  <c:v>228259.62992033805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5D-6241-BE17-CB6A3D670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1006864"/>
        <c:axId val="381022528"/>
      </c:lineChart>
      <c:catAx>
        <c:axId val="381006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22528"/>
        <c:crosses val="autoZero"/>
        <c:auto val="1"/>
        <c:lblAlgn val="ctr"/>
        <c:lblOffset val="100"/>
        <c:noMultiLvlLbl val="0"/>
      </c:catAx>
      <c:valAx>
        <c:axId val="38102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00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rnd" cmpd="sng" algn="ctr">
      <a:solidFill>
        <a:schemeClr val="dk1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sv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18</xdr:row>
      <xdr:rowOff>19050</xdr:rowOff>
    </xdr:from>
    <xdr:to>
      <xdr:col>14</xdr:col>
      <xdr:colOff>50800</xdr:colOff>
      <xdr:row>33</xdr:row>
      <xdr:rowOff>165100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55FB01C-14DA-CCDC-DD69-F1CE1EF936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609600</xdr:colOff>
          <xdr:row>39</xdr:row>
          <xdr:rowOff>190500</xdr:rowOff>
        </xdr:from>
        <xdr:to>
          <xdr:col>17</xdr:col>
          <xdr:colOff>317500</xdr:colOff>
          <xdr:row>42</xdr:row>
          <xdr:rowOff>127000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03A6A"/>
                  </a:solidFill>
                  <a:latin typeface="Century Gothic" pitchFamily="1" charset="0"/>
                </a:rPr>
                <a:t>View Inputs</a:t>
              </a:r>
              <a:endParaRPr lang="en-US" sz="1610" b="0" i="0" u="none" strike="noStrike" baseline="0">
                <a:solidFill>
                  <a:srgbClr val="003A6A"/>
                </a:solidFill>
                <a:latin typeface="Aptos Narrow" charset="0"/>
              </a:endParaRPr>
            </a:p>
            <a:p>
              <a:pPr algn="ctr" rtl="0">
                <a:defRPr sz="1000"/>
              </a:pPr>
              <a:endParaRPr lang="en-US" sz="1610" b="0" i="0" u="none" strike="noStrike" baseline="0">
                <a:solidFill>
                  <a:srgbClr val="003A6A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3175</xdr:colOff>
      <xdr:row>2</xdr:row>
      <xdr:rowOff>9525</xdr:rowOff>
    </xdr:from>
    <xdr:to>
      <xdr:col>19</xdr:col>
      <xdr:colOff>18955</xdr:colOff>
      <xdr:row>52</xdr:row>
      <xdr:rowOff>14941</xdr:rowOff>
    </xdr:to>
    <xdr:sp macro="" textlink="">
      <xdr:nvSpPr>
        <xdr:cNvPr id="2" name="Rounded Rectangle 3">
          <a:extLst>
            <a:ext uri="{FF2B5EF4-FFF2-40B4-BE49-F238E27FC236}">
              <a16:creationId xmlns:a16="http://schemas.microsoft.com/office/drawing/2014/main" id="{7F608361-69E8-4162-9068-CB8E9BA017F6}"/>
            </a:ext>
          </a:extLst>
        </xdr:cNvPr>
        <xdr:cNvSpPr/>
      </xdr:nvSpPr>
      <xdr:spPr bwMode="auto">
        <a:xfrm>
          <a:off x="2632075" y="390525"/>
          <a:ext cx="14036580" cy="9733616"/>
        </a:xfrm>
        <a:prstGeom prst="roundRect">
          <a:avLst>
            <a:gd name="adj" fmla="val 1264"/>
          </a:avLst>
        </a:prstGeom>
        <a:noFill/>
        <a:ln>
          <a:solidFill>
            <a:schemeClr val="tx1">
              <a:lumMod val="50000"/>
              <a:lumOff val="50000"/>
            </a:schemeClr>
          </a:solidFill>
          <a:headEnd type="none" w="med" len="med"/>
          <a:tailEnd type="none" w="med" len="med"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 b="1" kern="1200" cap="none" spc="0">
            <a:ln w="22225">
              <a:solidFill>
                <a:schemeClr val="accent2"/>
              </a:solidFill>
              <a:prstDash val="solid"/>
            </a:ln>
            <a:solidFill>
              <a:srgbClr val="323232"/>
            </a:solidFill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9</xdr:col>
      <xdr:colOff>563496</xdr:colOff>
      <xdr:row>8</xdr:row>
      <xdr:rowOff>34336</xdr:rowOff>
    </xdr:from>
    <xdr:to>
      <xdr:col>12</xdr:col>
      <xdr:colOff>568657</xdr:colOff>
      <xdr:row>16</xdr:row>
      <xdr:rowOff>64485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DE5E514-D698-97F2-B460-49780A5C0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5639" y="1606717"/>
          <a:ext cx="2635875" cy="1602530"/>
        </a:xfrm>
        <a:prstGeom prst="rect">
          <a:avLst/>
        </a:prstGeom>
      </xdr:spPr>
    </xdr:pic>
    <xdr:clientData/>
  </xdr:twoCellAnchor>
  <xdr:twoCellAnchor>
    <xdr:from>
      <xdr:col>3</xdr:col>
      <xdr:colOff>511791</xdr:colOff>
      <xdr:row>8</xdr:row>
      <xdr:rowOff>50800</xdr:rowOff>
    </xdr:from>
    <xdr:to>
      <xdr:col>18</xdr:col>
      <xdr:colOff>398060</xdr:colOff>
      <xdr:row>19</xdr:row>
      <xdr:rowOff>36813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BC80AB21-9BFC-3F9E-EB8E-14B529DC6719}"/>
            </a:ext>
          </a:extLst>
        </xdr:cNvPr>
        <xdr:cNvSpPr/>
      </xdr:nvSpPr>
      <xdr:spPr>
        <a:xfrm>
          <a:off x="3162226" y="1541670"/>
          <a:ext cx="13138443" cy="201065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>
            <a:solidFill>
              <a:srgbClr val="206AA4"/>
            </a:solidFill>
          </a:endParaRPr>
        </a:p>
      </xdr:txBody>
    </xdr:sp>
    <xdr:clientData/>
  </xdr:twoCellAnchor>
  <xdr:twoCellAnchor>
    <xdr:from>
      <xdr:col>10</xdr:col>
      <xdr:colOff>785761</xdr:colOff>
      <xdr:row>28</xdr:row>
      <xdr:rowOff>45065</xdr:rowOff>
    </xdr:from>
    <xdr:to>
      <xdr:col>11</xdr:col>
      <xdr:colOff>65548</xdr:colOff>
      <xdr:row>29</xdr:row>
      <xdr:rowOff>154366</xdr:rowOff>
    </xdr:to>
    <xdr:sp macro="" textlink="">
      <xdr:nvSpPr>
        <xdr:cNvPr id="16" name="Down Arrow 15">
          <a:extLst>
            <a:ext uri="{FF2B5EF4-FFF2-40B4-BE49-F238E27FC236}">
              <a16:creationId xmlns:a16="http://schemas.microsoft.com/office/drawing/2014/main" id="{1B907320-E83F-AC4D-3FCE-3F653CEE312F}"/>
            </a:ext>
          </a:extLst>
        </xdr:cNvPr>
        <xdr:cNvSpPr/>
      </xdr:nvSpPr>
      <xdr:spPr>
        <a:xfrm>
          <a:off x="9552858" y="5256162"/>
          <a:ext cx="156496" cy="301849"/>
        </a:xfrm>
        <a:prstGeom prst="downArrow">
          <a:avLst/>
        </a:prstGeom>
        <a:solidFill>
          <a:srgbClr val="6599CD"/>
        </a:solidFill>
        <a:ln>
          <a:solidFill>
            <a:srgbClr val="6599CD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 kern="1200">
            <a:ln>
              <a:noFill/>
            </a:ln>
            <a:noFill/>
          </a:endParaRPr>
        </a:p>
      </xdr:txBody>
    </xdr:sp>
    <xdr:clientData/>
  </xdr:twoCellAnchor>
  <xdr:twoCellAnchor>
    <xdr:from>
      <xdr:col>10</xdr:col>
      <xdr:colOff>774936</xdr:colOff>
      <xdr:row>33</xdr:row>
      <xdr:rowOff>46530</xdr:rowOff>
    </xdr:from>
    <xdr:to>
      <xdr:col>11</xdr:col>
      <xdr:colOff>54723</xdr:colOff>
      <xdr:row>34</xdr:row>
      <xdr:rowOff>155831</xdr:rowOff>
    </xdr:to>
    <xdr:sp macro="" textlink="">
      <xdr:nvSpPr>
        <xdr:cNvPr id="17" name="Down Arrow 16">
          <a:extLst>
            <a:ext uri="{FF2B5EF4-FFF2-40B4-BE49-F238E27FC236}">
              <a16:creationId xmlns:a16="http://schemas.microsoft.com/office/drawing/2014/main" id="{3213E70D-8CD1-604C-81FD-9414DCC26B16}"/>
            </a:ext>
          </a:extLst>
        </xdr:cNvPr>
        <xdr:cNvSpPr/>
      </xdr:nvSpPr>
      <xdr:spPr>
        <a:xfrm>
          <a:off x="9540697" y="6134247"/>
          <a:ext cx="156363" cy="299111"/>
        </a:xfrm>
        <a:prstGeom prst="downArrow">
          <a:avLst/>
        </a:prstGeom>
        <a:solidFill>
          <a:srgbClr val="6599CD"/>
        </a:solidFill>
        <a:ln>
          <a:solidFill>
            <a:srgbClr val="6599CD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 kern="1200">
            <a:ln>
              <a:noFill/>
            </a:ln>
            <a:noFill/>
          </a:endParaRPr>
        </a:p>
      </xdr:txBody>
    </xdr:sp>
    <xdr:clientData/>
  </xdr:twoCellAnchor>
  <xdr:twoCellAnchor>
    <xdr:from>
      <xdr:col>10</xdr:col>
      <xdr:colOff>800780</xdr:colOff>
      <xdr:row>38</xdr:row>
      <xdr:rowOff>47350</xdr:rowOff>
    </xdr:from>
    <xdr:to>
      <xdr:col>11</xdr:col>
      <xdr:colOff>80567</xdr:colOff>
      <xdr:row>39</xdr:row>
      <xdr:rowOff>156651</xdr:rowOff>
    </xdr:to>
    <xdr:sp macro="" textlink="">
      <xdr:nvSpPr>
        <xdr:cNvPr id="18" name="Down Arrow 17">
          <a:extLst>
            <a:ext uri="{FF2B5EF4-FFF2-40B4-BE49-F238E27FC236}">
              <a16:creationId xmlns:a16="http://schemas.microsoft.com/office/drawing/2014/main" id="{19D3560D-F062-9F4C-B4BF-EFA231446E3D}"/>
            </a:ext>
          </a:extLst>
        </xdr:cNvPr>
        <xdr:cNvSpPr/>
      </xdr:nvSpPr>
      <xdr:spPr>
        <a:xfrm>
          <a:off x="9566541" y="7084116"/>
          <a:ext cx="156363" cy="299111"/>
        </a:xfrm>
        <a:prstGeom prst="downArrow">
          <a:avLst/>
        </a:prstGeom>
        <a:solidFill>
          <a:srgbClr val="6599CD"/>
        </a:solidFill>
        <a:ln>
          <a:solidFill>
            <a:srgbClr val="6599CD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 kern="1200">
            <a:ln>
              <a:noFill/>
            </a:ln>
            <a:noFill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711200</xdr:colOff>
          <xdr:row>40</xdr:row>
          <xdr:rowOff>25400</xdr:rowOff>
        </xdr:from>
        <xdr:to>
          <xdr:col>7</xdr:col>
          <xdr:colOff>114300</xdr:colOff>
          <xdr:row>42</xdr:row>
          <xdr:rowOff>152400</xdr:rowOff>
        </xdr:to>
        <xdr:sp macro="" textlink="">
          <xdr:nvSpPr>
            <xdr:cNvPr id="5124" name="Button 4" descr="Learn More&#10;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03A6A"/>
                  </a:solidFill>
                  <a:latin typeface="Century Gothic" pitchFamily="1" charset="0"/>
                </a:rPr>
                <a:t>Learn More</a:t>
              </a:r>
            </a:p>
            <a:p>
              <a:pPr algn="ctr" rtl="0">
                <a:defRPr sz="1000"/>
              </a:pPr>
              <a:endParaRPr lang="en-US" sz="1500" b="1" i="0" u="none" strike="noStrike" baseline="0">
                <a:solidFill>
                  <a:srgbClr val="003A6A"/>
                </a:solidFill>
                <a:latin typeface="Century Gothic" pitchFamily="1" charset="0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256750</xdr:colOff>
      <xdr:row>33</xdr:row>
      <xdr:rowOff>68774</xdr:rowOff>
    </xdr:from>
    <xdr:to>
      <xdr:col>6</xdr:col>
      <xdr:colOff>675986</xdr:colOff>
      <xdr:row>40</xdr:row>
      <xdr:rowOff>15771</xdr:rowOff>
    </xdr:to>
    <xdr:pic>
      <xdr:nvPicPr>
        <xdr:cNvPr id="25" name="Graphic 24" descr="Medicine outline">
          <a:extLst>
            <a:ext uri="{FF2B5EF4-FFF2-40B4-BE49-F238E27FC236}">
              <a16:creationId xmlns:a16="http://schemas.microsoft.com/office/drawing/2014/main" id="{AE74B9A4-9458-74F3-A6AC-B0592C8856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635270" y="6817655"/>
          <a:ext cx="1294940" cy="1294940"/>
        </a:xfrm>
        <a:prstGeom prst="rect">
          <a:avLst/>
        </a:prstGeom>
      </xdr:spPr>
    </xdr:pic>
    <xdr:clientData/>
  </xdr:twoCellAnchor>
  <xdr:twoCellAnchor editAs="oneCell">
    <xdr:from>
      <xdr:col>15</xdr:col>
      <xdr:colOff>503887</xdr:colOff>
      <xdr:row>35</xdr:row>
      <xdr:rowOff>122577</xdr:rowOff>
    </xdr:from>
    <xdr:to>
      <xdr:col>16</xdr:col>
      <xdr:colOff>365061</xdr:colOff>
      <xdr:row>39</xdr:row>
      <xdr:rowOff>96868</xdr:rowOff>
    </xdr:to>
    <xdr:pic>
      <xdr:nvPicPr>
        <xdr:cNvPr id="27" name="Graphic 26" descr="Play with solid fill">
          <a:extLst>
            <a:ext uri="{FF2B5EF4-FFF2-40B4-BE49-F238E27FC236}">
              <a16:creationId xmlns:a16="http://schemas.microsoft.com/office/drawing/2014/main" id="{29EF9F91-67FB-AAFB-9EB1-AD25ED6DF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3615223" y="7176990"/>
          <a:ext cx="735263" cy="7352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444500</xdr:colOff>
          <xdr:row>50</xdr:row>
          <xdr:rowOff>25400</xdr:rowOff>
        </xdr:from>
        <xdr:to>
          <xdr:col>10</xdr:col>
          <xdr:colOff>850900</xdr:colOff>
          <xdr:row>53</xdr:row>
          <xdr:rowOff>12700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A6A"/>
                  </a:solidFill>
                  <a:latin typeface="Century Gothic" pitchFamily="1" charset="0"/>
                </a:rPr>
                <a:t>Run Simulation</a:t>
              </a:r>
            </a:p>
            <a:p>
              <a:pPr algn="ctr" rtl="0">
                <a:defRPr sz="1000"/>
              </a:pPr>
              <a:endParaRPr lang="en-US" sz="2000" b="1" i="0" u="none" strike="noStrike" baseline="0">
                <a:solidFill>
                  <a:srgbClr val="003A6A"/>
                </a:solidFill>
                <a:latin typeface="Century Gothic" pitchFamily="1" charset="0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</xdr:row>
      <xdr:rowOff>0</xdr:rowOff>
    </xdr:from>
    <xdr:to>
      <xdr:col>13</xdr:col>
      <xdr:colOff>0</xdr:colOff>
      <xdr:row>54</xdr:row>
      <xdr:rowOff>75623</xdr:rowOff>
    </xdr:to>
    <xdr:sp macro="" textlink="">
      <xdr:nvSpPr>
        <xdr:cNvPr id="6" name="Rounded Rectangle 3">
          <a:extLst>
            <a:ext uri="{FF2B5EF4-FFF2-40B4-BE49-F238E27FC236}">
              <a16:creationId xmlns:a16="http://schemas.microsoft.com/office/drawing/2014/main" id="{66C2AC06-D4C9-3042-822B-C8CA88DC1A9B}"/>
            </a:ext>
          </a:extLst>
        </xdr:cNvPr>
        <xdr:cNvSpPr/>
      </xdr:nvSpPr>
      <xdr:spPr bwMode="auto">
        <a:xfrm>
          <a:off x="4950847" y="193729"/>
          <a:ext cx="11257797" cy="12646470"/>
        </a:xfrm>
        <a:prstGeom prst="roundRect">
          <a:avLst>
            <a:gd name="adj" fmla="val 1264"/>
          </a:avLst>
        </a:prstGeom>
        <a:noFill/>
        <a:ln>
          <a:solidFill>
            <a:schemeClr val="tx1">
              <a:lumMod val="50000"/>
              <a:lumOff val="50000"/>
            </a:schemeClr>
          </a:solidFill>
          <a:headEnd type="none" w="med" len="med"/>
          <a:tailEnd type="none" w="med" len="med"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 b="1" kern="1200" cap="none" spc="0">
            <a:ln w="22225">
              <a:solidFill>
                <a:schemeClr val="accent2"/>
              </a:solidFill>
              <a:prstDash val="solid"/>
            </a:ln>
            <a:solidFill>
              <a:srgbClr val="323232"/>
            </a:solidFill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660400</xdr:colOff>
          <xdr:row>50</xdr:row>
          <xdr:rowOff>25400</xdr:rowOff>
        </xdr:from>
        <xdr:to>
          <xdr:col>5</xdr:col>
          <xdr:colOff>3263900</xdr:colOff>
          <xdr:row>52</xdr:row>
          <xdr:rowOff>177800</xdr:rowOff>
        </xdr:to>
        <xdr:sp macro="" textlink="">
          <xdr:nvSpPr>
            <xdr:cNvPr id="4122" name="Button 26" descr="Guide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2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A6A"/>
                  </a:solidFill>
                  <a:latin typeface="Century Gothic" pitchFamily="1" charset="0"/>
                </a:rPr>
                <a:t>Z-Score Table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319402</xdr:colOff>
      <xdr:row>4</xdr:row>
      <xdr:rowOff>45684</xdr:rowOff>
    </xdr:from>
    <xdr:to>
      <xdr:col>5</xdr:col>
      <xdr:colOff>2156212</xdr:colOff>
      <xdr:row>9</xdr:row>
      <xdr:rowOff>158327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2CA3C37-F4B5-B84D-B7E5-C780B49EA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04768" y="789099"/>
          <a:ext cx="1836810" cy="10419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2374900</xdr:colOff>
          <xdr:row>5</xdr:row>
          <xdr:rowOff>177800</xdr:rowOff>
        </xdr:from>
        <xdr:to>
          <xdr:col>12</xdr:col>
          <xdr:colOff>76200</xdr:colOff>
          <xdr:row>8</xdr:row>
          <xdr:rowOff>88900</xdr:rowOff>
        </xdr:to>
        <xdr:sp macro="" textlink="">
          <xdr:nvSpPr>
            <xdr:cNvPr id="4123" name="Button 27" descr="User Guide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3A6A"/>
                  </a:solidFill>
                  <a:latin typeface="Century Gothic" pitchFamily="1" charset="0"/>
                </a:rPr>
                <a:t>View Guide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423334</xdr:colOff>
      <xdr:row>38</xdr:row>
      <xdr:rowOff>101600</xdr:rowOff>
    </xdr:from>
    <xdr:to>
      <xdr:col>12</xdr:col>
      <xdr:colOff>555460</xdr:colOff>
      <xdr:row>48</xdr:row>
      <xdr:rowOff>88899</xdr:rowOff>
    </xdr:to>
    <xdr:pic>
      <xdr:nvPicPr>
        <xdr:cNvPr id="3" name="Picture 2" hidden="1">
          <a:extLst>
            <a:ext uri="{FF2B5EF4-FFF2-40B4-BE49-F238E27FC236}">
              <a16:creationId xmlns:a16="http://schemas.microsoft.com/office/drawing/2014/main" id="{45BE8799-A451-20F3-653C-D69BC443A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7467" y="9279467"/>
          <a:ext cx="4687193" cy="25272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1295400</xdr:colOff>
      <xdr:row>47</xdr:row>
      <xdr:rowOff>76200</xdr:rowOff>
    </xdr:from>
    <xdr:to>
      <xdr:col>6</xdr:col>
      <xdr:colOff>1066800</xdr:colOff>
      <xdr:row>82</xdr:row>
      <xdr:rowOff>0</xdr:rowOff>
    </xdr:to>
    <xdr:graphicFrame macro="">
      <xdr:nvGraphicFramePr>
        <xdr:cNvPr id="4" name="Chart 3" hidden="1">
          <a:extLst>
            <a:ext uri="{FF2B5EF4-FFF2-40B4-BE49-F238E27FC236}">
              <a16:creationId xmlns:a16="http://schemas.microsoft.com/office/drawing/2014/main" id="{57B5F7FE-8216-4DF7-AE0D-1CF9F67D44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1498600</xdr:colOff>
      <xdr:row>47</xdr:row>
      <xdr:rowOff>76200</xdr:rowOff>
    </xdr:from>
    <xdr:to>
      <xdr:col>10</xdr:col>
      <xdr:colOff>1574800</xdr:colOff>
      <xdr:row>81</xdr:row>
      <xdr:rowOff>152400</xdr:rowOff>
    </xdr:to>
    <xdr:graphicFrame macro="">
      <xdr:nvGraphicFramePr>
        <xdr:cNvPr id="5" name="Chart 4" hidden="1">
          <a:extLst>
            <a:ext uri="{FF2B5EF4-FFF2-40B4-BE49-F238E27FC236}">
              <a16:creationId xmlns:a16="http://schemas.microsoft.com/office/drawing/2014/main" id="{3ED23433-019D-45C7-9CCD-256C3A4E98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2222500</xdr:colOff>
          <xdr:row>95</xdr:row>
          <xdr:rowOff>63500</xdr:rowOff>
        </xdr:from>
        <xdr:to>
          <xdr:col>7</xdr:col>
          <xdr:colOff>330200</xdr:colOff>
          <xdr:row>99</xdr:row>
          <xdr:rowOff>127000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500" b="1" i="0" u="none" strike="noStrike" baseline="0">
                  <a:solidFill>
                    <a:srgbClr val="003A6A"/>
                  </a:solidFill>
                  <a:latin typeface="Century Gothic" pitchFamily="1" charset="0"/>
                </a:rPr>
                <a:t>Return to Introduction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83154</xdr:colOff>
      <xdr:row>7</xdr:row>
      <xdr:rowOff>47037</xdr:rowOff>
    </xdr:from>
    <xdr:to>
      <xdr:col>2</xdr:col>
      <xdr:colOff>2179929</xdr:colOff>
      <xdr:row>13</xdr:row>
      <xdr:rowOff>126139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E6904E5-AA45-884D-831A-DBAFF572F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99265" y="1364074"/>
          <a:ext cx="2096775" cy="1207991"/>
        </a:xfrm>
        <a:prstGeom prst="rect">
          <a:avLst/>
        </a:prstGeom>
      </xdr:spPr>
    </xdr:pic>
    <xdr:clientData/>
  </xdr:twoCellAnchor>
  <xdr:twoCellAnchor>
    <xdr:from>
      <xdr:col>0</xdr:col>
      <xdr:colOff>1930400</xdr:colOff>
      <xdr:row>3</xdr:row>
      <xdr:rowOff>-1</xdr:rowOff>
    </xdr:from>
    <xdr:to>
      <xdr:col>12</xdr:col>
      <xdr:colOff>-1</xdr:colOff>
      <xdr:row>103</xdr:row>
      <xdr:rowOff>103672</xdr:rowOff>
    </xdr:to>
    <xdr:sp macro="" textlink="">
      <xdr:nvSpPr>
        <xdr:cNvPr id="10" name="Rounded Rectangle 3">
          <a:extLst>
            <a:ext uri="{FF2B5EF4-FFF2-40B4-BE49-F238E27FC236}">
              <a16:creationId xmlns:a16="http://schemas.microsoft.com/office/drawing/2014/main" id="{41E8CFB2-293D-D84B-976F-1C2C85DF293C}"/>
            </a:ext>
          </a:extLst>
        </xdr:cNvPr>
        <xdr:cNvSpPr/>
      </xdr:nvSpPr>
      <xdr:spPr bwMode="auto">
        <a:xfrm>
          <a:off x="1930400" y="544285"/>
          <a:ext cx="28808783" cy="19153673"/>
        </a:xfrm>
        <a:prstGeom prst="roundRect">
          <a:avLst>
            <a:gd name="adj" fmla="val 1264"/>
          </a:avLst>
        </a:prstGeom>
        <a:noFill/>
        <a:ln>
          <a:solidFill>
            <a:schemeClr val="tx1">
              <a:lumMod val="50000"/>
              <a:lumOff val="50000"/>
            </a:schemeClr>
          </a:solidFill>
          <a:headEnd type="none" w="med" len="med"/>
          <a:tailEnd type="none" w="med" len="med"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US" sz="1100" b="1" kern="1200" cap="none" spc="0">
            <a:ln w="22225">
              <a:solidFill>
                <a:schemeClr val="accent2"/>
              </a:solidFill>
              <a:prstDash val="solid"/>
            </a:ln>
            <a:solidFill>
              <a:srgbClr val="323232"/>
            </a:solidFill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2</xdr:col>
      <xdr:colOff>584200</xdr:colOff>
      <xdr:row>40</xdr:row>
      <xdr:rowOff>172204</xdr:rowOff>
    </xdr:from>
    <xdr:to>
      <xdr:col>10</xdr:col>
      <xdr:colOff>2362200</xdr:colOff>
      <xdr:row>92</xdr:row>
      <xdr:rowOff>145737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9DC7118B-5A4D-824B-8B5F-84B19CA59321}"/>
            </a:ext>
          </a:extLst>
        </xdr:cNvPr>
        <xdr:cNvSpPr/>
      </xdr:nvSpPr>
      <xdr:spPr>
        <a:xfrm>
          <a:off x="3403600" y="9189204"/>
          <a:ext cx="25755600" cy="10539933"/>
        </a:xfrm>
        <a:prstGeom prst="roundRect">
          <a:avLst>
            <a:gd name="adj" fmla="val 614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>
            <a:solidFill>
              <a:srgbClr val="206AA4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2527300</xdr:colOff>
          <xdr:row>29</xdr:row>
          <xdr:rowOff>139700</xdr:rowOff>
        </xdr:from>
        <xdr:to>
          <xdr:col>4</xdr:col>
          <xdr:colOff>2527300</xdr:colOff>
          <xdr:row>33</xdr:row>
          <xdr:rowOff>190500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500" b="1" i="0" u="none" strike="noStrike" baseline="0">
                  <a:solidFill>
                    <a:srgbClr val="003A6A"/>
                  </a:solidFill>
                  <a:latin typeface="Century Gothic" pitchFamily="1" charset="0"/>
                </a:rPr>
                <a:t>Summarize</a:t>
              </a:r>
              <a:r>
                <a:rPr lang="en-US" sz="2000" b="1" i="0" u="none" strike="noStrike" baseline="0">
                  <a:solidFill>
                    <a:srgbClr val="003A6A"/>
                  </a:solidFill>
                  <a:latin typeface="Century Gothic" pitchFamily="1" charset="0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2514600</xdr:colOff>
          <xdr:row>29</xdr:row>
          <xdr:rowOff>101600</xdr:rowOff>
        </xdr:from>
        <xdr:to>
          <xdr:col>6</xdr:col>
          <xdr:colOff>2997200</xdr:colOff>
          <xdr:row>33</xdr:row>
          <xdr:rowOff>152400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500" b="1" i="0" u="none" strike="noStrike" baseline="0">
                  <a:solidFill>
                    <a:srgbClr val="003A6A"/>
                  </a:solidFill>
                  <a:latin typeface="Century Gothic" pitchFamily="1" charset="0"/>
                </a:rPr>
                <a:t>Show NPV Visuals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1727200</xdr:colOff>
          <xdr:row>95</xdr:row>
          <xdr:rowOff>101600</xdr:rowOff>
        </xdr:from>
        <xdr:to>
          <xdr:col>4</xdr:col>
          <xdr:colOff>2819400</xdr:colOff>
          <xdr:row>99</xdr:row>
          <xdr:rowOff>152400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500" b="1" i="0" u="none" strike="noStrike" baseline="0">
                  <a:solidFill>
                    <a:srgbClr val="003A6A"/>
                  </a:solidFill>
                  <a:latin typeface="Century Gothic" pitchFamily="1" charset="0"/>
                </a:rPr>
                <a:t>Save/Export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2413000</xdr:colOff>
          <xdr:row>29</xdr:row>
          <xdr:rowOff>127000</xdr:rowOff>
        </xdr:from>
        <xdr:to>
          <xdr:col>9</xdr:col>
          <xdr:colOff>431800</xdr:colOff>
          <xdr:row>33</xdr:row>
          <xdr:rowOff>165100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4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500" b="1" i="0" u="none" strike="noStrike" baseline="0">
                  <a:solidFill>
                    <a:srgbClr val="003A6A"/>
                  </a:solidFill>
                  <a:latin typeface="Century Gothic" pitchFamily="1" charset="0"/>
                </a:rPr>
                <a:t>Show All Metric Visuals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2552700</xdr:colOff>
          <xdr:row>95</xdr:row>
          <xdr:rowOff>76200</xdr:rowOff>
        </xdr:from>
        <xdr:to>
          <xdr:col>9</xdr:col>
          <xdr:colOff>647700</xdr:colOff>
          <xdr:row>99</xdr:row>
          <xdr:rowOff>114300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4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500" b="1" i="0" u="none" strike="noStrike" baseline="0">
                  <a:solidFill>
                    <a:srgbClr val="003A6A"/>
                  </a:solidFill>
                  <a:latin typeface="Century Gothic" pitchFamily="1" charset="0"/>
                </a:rPr>
                <a:t>Exit Model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1476805</xdr:colOff>
      <xdr:row>42</xdr:row>
      <xdr:rowOff>15844</xdr:rowOff>
    </xdr:from>
    <xdr:to>
      <xdr:col>5</xdr:col>
      <xdr:colOff>2441519</xdr:colOff>
      <xdr:row>65</xdr:row>
      <xdr:rowOff>178246</xdr:rowOff>
    </xdr:to>
    <xdr:graphicFrame macro="">
      <xdr:nvGraphicFramePr>
        <xdr:cNvPr id="7" name="Chart 6" hidden="1">
          <a:extLst>
            <a:ext uri="{FF2B5EF4-FFF2-40B4-BE49-F238E27FC236}">
              <a16:creationId xmlns:a16="http://schemas.microsoft.com/office/drawing/2014/main" id="{C14A5271-D90A-72AE-4D52-DCE5957907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759771</xdr:colOff>
      <xdr:row>42</xdr:row>
      <xdr:rowOff>29537</xdr:rowOff>
    </xdr:from>
    <xdr:to>
      <xdr:col>10</xdr:col>
      <xdr:colOff>1555503</xdr:colOff>
      <xdr:row>65</xdr:row>
      <xdr:rowOff>177800</xdr:rowOff>
    </xdr:to>
    <xdr:graphicFrame macro="">
      <xdr:nvGraphicFramePr>
        <xdr:cNvPr id="9" name="Chart 8" hidden="1">
          <a:extLst>
            <a:ext uri="{FF2B5EF4-FFF2-40B4-BE49-F238E27FC236}">
              <a16:creationId xmlns:a16="http://schemas.microsoft.com/office/drawing/2014/main" id="{BAF037F9-3506-70E5-4F62-5A5F678713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2209800</xdr:colOff>
      <xdr:row>66</xdr:row>
      <xdr:rowOff>133685</xdr:rowOff>
    </xdr:from>
    <xdr:to>
      <xdr:col>8</xdr:col>
      <xdr:colOff>711200</xdr:colOff>
      <xdr:row>91</xdr:row>
      <xdr:rowOff>50801</xdr:rowOff>
    </xdr:to>
    <xdr:graphicFrame macro="">
      <xdr:nvGraphicFramePr>
        <xdr:cNvPr id="12" name="Chart 11" hidden="1">
          <a:extLst>
            <a:ext uri="{FF2B5EF4-FFF2-40B4-BE49-F238E27FC236}">
              <a16:creationId xmlns:a16="http://schemas.microsoft.com/office/drawing/2014/main" id="{24B0C932-01EA-32B8-F662-885C7D784A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slynn/Dropbox/DATA%20612/Sample%20Quizzes/OPMA612_Quiz1_Solu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IntegerA"/>
      <sheetName val="IntegerB"/>
      <sheetName val="NetworkA"/>
      <sheetName val="NetworkB"/>
      <sheetName val="MultiA"/>
      <sheetName val="MultiB"/>
    </sheetNames>
    <sheetDataSet>
      <sheetData sheetId="0"/>
      <sheetData sheetId="1"/>
      <sheetData sheetId="2">
        <row r="14">
          <cell r="D14">
            <v>1</v>
          </cell>
        </row>
        <row r="15">
          <cell r="D15">
            <v>1</v>
          </cell>
        </row>
        <row r="16">
          <cell r="D16">
            <v>1</v>
          </cell>
        </row>
        <row r="20">
          <cell r="D20">
            <v>2</v>
          </cell>
        </row>
        <row r="21">
          <cell r="D21">
            <v>2</v>
          </cell>
        </row>
        <row r="22">
          <cell r="D22">
            <v>2</v>
          </cell>
        </row>
      </sheetData>
      <sheetData sheetId="3"/>
      <sheetData sheetId="4"/>
      <sheetData sheetId="5">
        <row r="9">
          <cell r="H9">
            <v>100</v>
          </cell>
        </row>
        <row r="13">
          <cell r="D13">
            <v>10</v>
          </cell>
        </row>
      </sheetData>
      <sheetData sheetId="6">
        <row r="21">
          <cell r="D21">
            <v>2600</v>
          </cell>
        </row>
      </sheetData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 Boardroom">
  <a:themeElements>
    <a:clrScheme name="Ion Boardroom">
      <a:dk1>
        <a:sysClr val="windowText" lastClr="000000"/>
      </a:dk1>
      <a:lt1>
        <a:sysClr val="window" lastClr="FFFFFF"/>
      </a:lt1>
      <a:dk2>
        <a:srgbClr val="3B3059"/>
      </a:dk2>
      <a:lt2>
        <a:srgbClr val="EBEBEB"/>
      </a:lt2>
      <a:accent1>
        <a:srgbClr val="B31166"/>
      </a:accent1>
      <a:accent2>
        <a:srgbClr val="E33D6F"/>
      </a:accent2>
      <a:accent3>
        <a:srgbClr val="E45F3C"/>
      </a:accent3>
      <a:accent4>
        <a:srgbClr val="E9943A"/>
      </a:accent4>
      <a:accent5>
        <a:srgbClr val="9B6BF2"/>
      </a:accent5>
      <a:accent6>
        <a:srgbClr val="D53DD0"/>
      </a:accent6>
      <a:hlink>
        <a:srgbClr val="8F8F8F"/>
      </a:hlink>
      <a:folHlink>
        <a:srgbClr val="A5A5A5"/>
      </a:folHlink>
    </a:clrScheme>
    <a:fontScheme name="Ion Boardroom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 Boardroom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124000"/>
                <a:satMod val="148000"/>
                <a:lumMod val="124000"/>
              </a:schemeClr>
            </a:gs>
            <a:gs pos="100000">
              <a:schemeClr val="phClr">
                <a:shade val="76000"/>
                <a:hueMod val="89000"/>
                <a:satMod val="164000"/>
                <a:lumMod val="5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91000"/>
                <a:satMod val="164000"/>
                <a:lumMod val="74000"/>
              </a:schemeClr>
              <a:schemeClr val="phClr">
                <a:hueMod val="124000"/>
                <a:satMod val="140000"/>
                <a:lumMod val="14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 Boardroom" id="{FC33163D-4339-46B1-8EED-24C834239D99}" vid="{B8502691-933B-45FE-8764-BA278511EF27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omments" Target="../comments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B055F-2AA2-2D42-8E1E-CEB2DC8B2B57}">
  <sheetPr codeName="Sheet5"/>
  <dimension ref="B4:I22"/>
  <sheetViews>
    <sheetView topLeftCell="A2" workbookViewId="0">
      <selection activeCell="G25" sqref="G25"/>
    </sheetView>
  </sheetViews>
  <sheetFormatPr baseColWidth="10" defaultColWidth="11.5" defaultRowHeight="15"/>
  <cols>
    <col min="3" max="3" width="13.33203125" customWidth="1"/>
    <col min="4" max="4" width="12.83203125" customWidth="1"/>
    <col min="5" max="5" width="13" customWidth="1"/>
    <col min="6" max="7" width="12.33203125" customWidth="1"/>
    <col min="8" max="8" width="12" customWidth="1"/>
    <col min="9" max="9" width="12.5" customWidth="1"/>
  </cols>
  <sheetData>
    <row r="4" spans="2:9">
      <c r="C4" s="177" t="s">
        <v>7</v>
      </c>
      <c r="D4" s="177"/>
      <c r="E4" s="177"/>
      <c r="F4" s="177"/>
      <c r="G4" s="177"/>
      <c r="H4" s="177"/>
      <c r="I4" s="177"/>
    </row>
    <row r="5" spans="2:9">
      <c r="C5" s="1"/>
      <c r="D5" s="1"/>
      <c r="E5" s="1"/>
      <c r="F5" s="1"/>
      <c r="G5" s="1"/>
      <c r="H5" s="1"/>
      <c r="I5" s="1"/>
    </row>
    <row r="6" spans="2:9">
      <c r="C6" s="2">
        <v>1</v>
      </c>
      <c r="D6" s="2">
        <v>2</v>
      </c>
      <c r="E6" s="2">
        <v>3</v>
      </c>
      <c r="F6" s="2">
        <v>4</v>
      </c>
      <c r="G6" s="2">
        <v>5</v>
      </c>
      <c r="H6" s="2">
        <v>6</v>
      </c>
      <c r="I6" s="2">
        <v>7</v>
      </c>
    </row>
    <row r="7" spans="2:9">
      <c r="C7" s="3">
        <v>30000</v>
      </c>
      <c r="D7" s="3">
        <v>35000</v>
      </c>
      <c r="E7" s="3">
        <v>40000</v>
      </c>
      <c r="F7" s="3">
        <v>45000</v>
      </c>
      <c r="G7" s="3">
        <v>50000</v>
      </c>
      <c r="H7" s="3">
        <v>55000</v>
      </c>
      <c r="I7" s="3">
        <v>60000</v>
      </c>
    </row>
    <row r="8" spans="2:9">
      <c r="B8" s="2" t="s">
        <v>29</v>
      </c>
      <c r="C8" s="7" t="e">
        <f>Pharma!#REF!</f>
        <v>#REF!</v>
      </c>
      <c r="D8" s="7" t="e">
        <f>#REF!</f>
        <v>#REF!</v>
      </c>
      <c r="E8" s="7" t="e">
        <f>#REF!</f>
        <v>#REF!</v>
      </c>
      <c r="F8" s="7" t="e">
        <f>#REF!</f>
        <v>#REF!</v>
      </c>
      <c r="G8" s="7"/>
      <c r="H8" s="7"/>
      <c r="I8" s="7"/>
    </row>
    <row r="9" spans="2:9">
      <c r="B9" s="2" t="s">
        <v>30</v>
      </c>
      <c r="C9" s="4" t="e">
        <f>Pharma!#REF!</f>
        <v>#REF!</v>
      </c>
      <c r="D9" s="4" t="e">
        <f>#REF!</f>
        <v>#REF!</v>
      </c>
      <c r="E9" s="4" t="e">
        <f>#REF!</f>
        <v>#REF!</v>
      </c>
      <c r="F9" s="4" t="e">
        <f>#REF!</f>
        <v>#REF!</v>
      </c>
      <c r="G9" s="4"/>
      <c r="H9" s="4"/>
      <c r="I9" s="4"/>
    </row>
    <row r="10" spans="2:9">
      <c r="B10" s="2" t="s">
        <v>31</v>
      </c>
      <c r="C10" s="4" t="e">
        <f>Pharma!#REF!</f>
        <v>#REF!</v>
      </c>
      <c r="D10" s="4" t="e">
        <f>#REF!</f>
        <v>#REF!</v>
      </c>
      <c r="E10" s="4" t="e">
        <f>#REF!</f>
        <v>#REF!</v>
      </c>
      <c r="F10" s="4" t="e">
        <f>#REF!</f>
        <v>#REF!</v>
      </c>
      <c r="G10" s="4"/>
      <c r="H10" s="4"/>
      <c r="I10" s="4"/>
    </row>
    <row r="11" spans="2:9">
      <c r="B11" s="2" t="s">
        <v>32</v>
      </c>
      <c r="C11" s="4" t="e">
        <f>Pharma!#REF!</f>
        <v>#REF!</v>
      </c>
      <c r="D11" s="4" t="e">
        <f>#REF!</f>
        <v>#REF!</v>
      </c>
      <c r="E11" s="4" t="e">
        <f>#REF!</f>
        <v>#REF!</v>
      </c>
      <c r="F11" s="4" t="e">
        <f>#REF!</f>
        <v>#REF!</v>
      </c>
      <c r="G11" s="4"/>
      <c r="H11" s="4"/>
      <c r="I11" s="4"/>
    </row>
    <row r="12" spans="2:9">
      <c r="C12" s="5"/>
      <c r="D12" s="5"/>
      <c r="E12" s="5"/>
      <c r="F12" s="5"/>
      <c r="G12" s="5"/>
      <c r="H12" s="5"/>
      <c r="I12" s="5"/>
    </row>
    <row r="13" spans="2:9">
      <c r="B13" s="2" t="s">
        <v>36</v>
      </c>
      <c r="C13" s="6">
        <f>Pharma!B36</f>
        <v>0</v>
      </c>
      <c r="D13" s="6"/>
      <c r="E13" s="6"/>
      <c r="F13" s="6"/>
      <c r="G13" s="6"/>
      <c r="H13" s="6"/>
      <c r="I13" s="6"/>
    </row>
    <row r="14" spans="2:9">
      <c r="B14" s="2" t="s">
        <v>33</v>
      </c>
      <c r="C14" s="6" t="e">
        <f>Pharma!#REF!</f>
        <v>#REF!</v>
      </c>
      <c r="D14" s="6"/>
      <c r="E14" s="6"/>
      <c r="F14" s="6"/>
      <c r="G14" s="6"/>
      <c r="H14" s="6"/>
      <c r="I14" s="6"/>
    </row>
    <row r="15" spans="2:9">
      <c r="B15" s="2" t="s">
        <v>34</v>
      </c>
      <c r="C15" s="6" t="e">
        <f>Pharma!#REF!</f>
        <v>#REF!</v>
      </c>
      <c r="D15" s="6"/>
      <c r="E15" s="6"/>
      <c r="F15" s="6"/>
      <c r="G15" s="6"/>
      <c r="H15" s="6"/>
      <c r="I15" s="6"/>
    </row>
    <row r="18" spans="3:4">
      <c r="C18" t="s">
        <v>37</v>
      </c>
      <c r="D18" t="s">
        <v>27</v>
      </c>
    </row>
    <row r="19" spans="3:4">
      <c r="C19" s="3">
        <v>30000</v>
      </c>
      <c r="D19" s="4" t="e">
        <f>C8</f>
        <v>#REF!</v>
      </c>
    </row>
    <row r="20" spans="3:4">
      <c r="C20" s="3">
        <v>35000</v>
      </c>
      <c r="D20" s="4" t="e">
        <f>D8</f>
        <v>#REF!</v>
      </c>
    </row>
    <row r="21" spans="3:4">
      <c r="C21" s="3">
        <v>40000</v>
      </c>
      <c r="D21" s="4" t="e">
        <f>E8</f>
        <v>#REF!</v>
      </c>
    </row>
    <row r="22" spans="3:4">
      <c r="C22" s="3">
        <v>45000</v>
      </c>
      <c r="D22" s="4" t="e">
        <f>F8</f>
        <v>#REF!</v>
      </c>
    </row>
  </sheetData>
  <mergeCells count="1">
    <mergeCell ref="C4:I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0AEDB-1F7D-0B4C-8C9F-505FD3AC320C}">
  <sheetPr codeName="Sheet4"/>
  <dimension ref="C3:S61"/>
  <sheetViews>
    <sheetView showGridLines="0" showRowColHeaders="0" tabSelected="1" topLeftCell="A5" zoomScale="88" workbookViewId="0">
      <selection activeCell="S41" sqref="S41"/>
    </sheetView>
  </sheetViews>
  <sheetFormatPr baseColWidth="10" defaultColWidth="11.5" defaultRowHeight="15"/>
  <cols>
    <col min="4" max="4" width="11.5" customWidth="1"/>
  </cols>
  <sheetData>
    <row r="3" spans="3:19" ht="15" customHeight="1">
      <c r="D3" s="209" t="s">
        <v>79</v>
      </c>
      <c r="E3" s="209"/>
      <c r="F3" s="209"/>
      <c r="G3" s="209"/>
      <c r="H3" s="209"/>
      <c r="I3" s="209"/>
      <c r="J3" s="209"/>
      <c r="K3" s="209"/>
      <c r="L3" s="209"/>
      <c r="M3" s="209"/>
      <c r="N3" s="209"/>
      <c r="O3" s="209"/>
      <c r="P3" s="209"/>
      <c r="Q3" s="209"/>
      <c r="R3" s="209"/>
      <c r="S3" s="209"/>
    </row>
    <row r="4" spans="3:19" ht="16" customHeight="1"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09"/>
      <c r="O4" s="209"/>
      <c r="P4" s="209"/>
      <c r="Q4" s="209"/>
      <c r="R4" s="209"/>
      <c r="S4" s="209"/>
    </row>
    <row r="5" spans="3:19" ht="15" customHeight="1"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/>
      <c r="R5" s="209"/>
      <c r="S5" s="209"/>
    </row>
    <row r="6" spans="3:19" ht="15" customHeight="1">
      <c r="D6" s="209"/>
      <c r="E6" s="209"/>
      <c r="F6" s="209"/>
      <c r="G6" s="209"/>
      <c r="H6" s="209"/>
      <c r="I6" s="209"/>
      <c r="J6" s="209"/>
      <c r="K6" s="209"/>
      <c r="L6" s="209"/>
      <c r="M6" s="209"/>
      <c r="N6" s="209"/>
      <c r="O6" s="209"/>
      <c r="P6" s="209"/>
      <c r="Q6" s="209"/>
      <c r="R6" s="209"/>
      <c r="S6" s="209"/>
    </row>
    <row r="7" spans="3:19" ht="15" customHeight="1">
      <c r="D7" s="209"/>
      <c r="E7" s="209"/>
      <c r="F7" s="209"/>
      <c r="G7" s="209"/>
      <c r="H7" s="209"/>
      <c r="I7" s="209"/>
      <c r="J7" s="209"/>
      <c r="K7" s="209"/>
      <c r="L7" s="209"/>
      <c r="M7" s="209"/>
      <c r="N7" s="209"/>
      <c r="O7" s="209"/>
      <c r="P7" s="209"/>
      <c r="Q7" s="209"/>
      <c r="R7" s="209"/>
      <c r="S7" s="209"/>
    </row>
    <row r="8" spans="3:19" ht="15" customHeight="1">
      <c r="D8" s="9"/>
      <c r="E8" s="9"/>
      <c r="F8" s="208"/>
      <c r="G8" s="208"/>
      <c r="H8" s="208"/>
      <c r="I8" s="208"/>
      <c r="J8" s="208"/>
      <c r="K8" s="208"/>
      <c r="L8" s="9"/>
      <c r="M8" s="9"/>
      <c r="N8" s="9"/>
      <c r="O8" s="9"/>
    </row>
    <row r="9" spans="3:19">
      <c r="D9" s="9"/>
      <c r="E9" s="9"/>
      <c r="F9" s="208"/>
      <c r="G9" s="208"/>
      <c r="H9" s="208"/>
      <c r="I9" s="208"/>
      <c r="J9" s="208"/>
      <c r="K9" s="208"/>
      <c r="L9" s="9"/>
      <c r="M9" s="9"/>
      <c r="N9" s="9"/>
      <c r="O9" s="9"/>
    </row>
    <row r="10" spans="3:19">
      <c r="D10" s="9"/>
      <c r="E10" s="9"/>
      <c r="F10" s="208"/>
      <c r="G10" s="208"/>
      <c r="H10" s="208"/>
      <c r="I10" s="208"/>
      <c r="J10" s="208"/>
      <c r="K10" s="208"/>
      <c r="L10" s="9"/>
      <c r="M10" s="9"/>
      <c r="N10" s="9"/>
      <c r="O10" s="9"/>
    </row>
    <row r="11" spans="3:19">
      <c r="D11" s="9"/>
      <c r="E11" s="9"/>
      <c r="F11" s="208"/>
      <c r="G11" s="208"/>
      <c r="H11" s="208"/>
      <c r="I11" s="208"/>
      <c r="J11" s="208"/>
      <c r="K11" s="208"/>
      <c r="L11" s="9"/>
      <c r="M11" s="9"/>
      <c r="N11" s="9"/>
      <c r="O11" s="9"/>
    </row>
    <row r="12" spans="3:19">
      <c r="D12" s="9"/>
      <c r="E12" s="9"/>
      <c r="F12" s="208"/>
      <c r="G12" s="208"/>
      <c r="H12" s="208"/>
      <c r="I12" s="208"/>
      <c r="J12" s="208"/>
      <c r="K12" s="208"/>
      <c r="L12" s="9"/>
      <c r="M12" s="9"/>
      <c r="N12" s="9"/>
      <c r="O12" s="9"/>
    </row>
    <row r="13" spans="3:19">
      <c r="D13" s="9"/>
      <c r="E13" s="9"/>
      <c r="F13" s="208"/>
      <c r="G13" s="208"/>
      <c r="H13" s="208"/>
      <c r="I13" s="208"/>
      <c r="J13" s="208"/>
      <c r="K13" s="208"/>
      <c r="L13" s="9"/>
      <c r="M13" s="9"/>
      <c r="N13" s="9"/>
      <c r="O13" s="9"/>
    </row>
    <row r="14" spans="3:19">
      <c r="D14" s="9"/>
      <c r="E14" s="9"/>
      <c r="F14" s="208"/>
      <c r="G14" s="208"/>
      <c r="H14" s="208"/>
      <c r="I14" s="208"/>
      <c r="J14" s="208"/>
      <c r="K14" s="208"/>
      <c r="L14" s="9"/>
      <c r="M14" s="9"/>
      <c r="N14" s="9"/>
      <c r="O14" s="9"/>
    </row>
    <row r="15" spans="3:19" ht="15" customHeight="1"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3:19" ht="15" customHeight="1"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3:19" ht="15" customHeight="1">
      <c r="D17" s="210" t="s">
        <v>68</v>
      </c>
      <c r="E17" s="210"/>
      <c r="F17" s="210"/>
      <c r="G17" s="210"/>
      <c r="H17" s="210"/>
      <c r="I17" s="210"/>
      <c r="J17" s="210"/>
      <c r="K17" s="210"/>
      <c r="L17" s="210"/>
      <c r="M17" s="210"/>
      <c r="N17" s="210"/>
      <c r="O17" s="210"/>
      <c r="P17" s="210"/>
      <c r="Q17" s="210"/>
      <c r="R17" s="210"/>
      <c r="S17" s="210"/>
    </row>
    <row r="18" spans="3:19" ht="15" customHeight="1">
      <c r="D18" s="210"/>
      <c r="E18" s="210"/>
      <c r="F18" s="210"/>
      <c r="G18" s="210"/>
      <c r="H18" s="210"/>
      <c r="I18" s="210"/>
      <c r="J18" s="210"/>
      <c r="K18" s="210"/>
      <c r="L18" s="210"/>
      <c r="M18" s="210"/>
      <c r="N18" s="210"/>
      <c r="O18" s="210"/>
      <c r="P18" s="210"/>
      <c r="Q18" s="210"/>
      <c r="R18" s="210"/>
      <c r="S18" s="210"/>
    </row>
    <row r="19" spans="3:19" ht="15" customHeight="1"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</row>
    <row r="20" spans="3:19" ht="15" customHeight="1"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</row>
    <row r="21" spans="3:19"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</row>
    <row r="22" spans="3:19">
      <c r="D22" s="9"/>
      <c r="E22" s="200" t="s">
        <v>70</v>
      </c>
      <c r="F22" s="200"/>
      <c r="G22" s="200"/>
      <c r="H22" s="200"/>
      <c r="J22" s="201" t="s">
        <v>71</v>
      </c>
      <c r="K22" s="202"/>
      <c r="L22" s="202"/>
      <c r="M22" s="203"/>
      <c r="O22" s="207" t="s">
        <v>72</v>
      </c>
      <c r="P22" s="207"/>
      <c r="Q22" s="207"/>
      <c r="R22" s="207"/>
    </row>
    <row r="23" spans="3:19" ht="15" customHeight="1">
      <c r="D23" s="9"/>
      <c r="E23" s="200"/>
      <c r="F23" s="200"/>
      <c r="G23" s="200"/>
      <c r="H23" s="200"/>
      <c r="J23" s="204"/>
      <c r="K23" s="205"/>
      <c r="L23" s="205"/>
      <c r="M23" s="206"/>
      <c r="O23" s="207"/>
      <c r="P23" s="207"/>
      <c r="Q23" s="207"/>
      <c r="R23" s="207"/>
    </row>
    <row r="24" spans="3:19" ht="15" customHeight="1">
      <c r="D24" s="9"/>
      <c r="E24" s="20"/>
      <c r="F24" s="21"/>
      <c r="G24" s="21"/>
      <c r="H24" s="22"/>
      <c r="I24" s="9"/>
      <c r="N24" s="9"/>
      <c r="O24" s="20"/>
      <c r="P24" s="21"/>
      <c r="Q24" s="21"/>
      <c r="R24" s="22"/>
    </row>
    <row r="25" spans="3:19" ht="15" customHeight="1">
      <c r="E25" s="179" t="s">
        <v>78</v>
      </c>
      <c r="F25" s="180"/>
      <c r="G25" s="180"/>
      <c r="H25" s="181"/>
      <c r="I25" s="9"/>
      <c r="N25" s="9"/>
      <c r="O25" s="23"/>
      <c r="P25" s="24"/>
      <c r="Q25" s="24"/>
      <c r="R25" s="25"/>
    </row>
    <row r="26" spans="3:19" ht="15" customHeight="1">
      <c r="E26" s="179"/>
      <c r="F26" s="180"/>
      <c r="G26" s="180"/>
      <c r="H26" s="181"/>
      <c r="I26" s="9"/>
      <c r="J26" s="182" t="s">
        <v>73</v>
      </c>
      <c r="K26" s="183"/>
      <c r="L26" s="183"/>
      <c r="M26" s="184"/>
      <c r="N26" s="9"/>
      <c r="O26" s="179" t="s">
        <v>80</v>
      </c>
      <c r="P26" s="180"/>
      <c r="Q26" s="180"/>
      <c r="R26" s="181"/>
    </row>
    <row r="27" spans="3:19" ht="15" customHeight="1">
      <c r="E27" s="179"/>
      <c r="F27" s="180"/>
      <c r="G27" s="180"/>
      <c r="H27" s="181"/>
      <c r="I27" s="9"/>
      <c r="J27" s="185"/>
      <c r="K27" s="186"/>
      <c r="L27" s="186"/>
      <c r="M27" s="187"/>
      <c r="N27" s="9"/>
      <c r="O27" s="179"/>
      <c r="P27" s="180"/>
      <c r="Q27" s="180"/>
      <c r="R27" s="181"/>
    </row>
    <row r="28" spans="3:19" ht="15" customHeight="1">
      <c r="E28" s="179"/>
      <c r="F28" s="180"/>
      <c r="G28" s="180"/>
      <c r="H28" s="181"/>
      <c r="I28" s="9"/>
      <c r="J28" s="188"/>
      <c r="K28" s="189"/>
      <c r="L28" s="189"/>
      <c r="M28" s="190"/>
      <c r="N28" s="9"/>
      <c r="O28" s="179"/>
      <c r="P28" s="180"/>
      <c r="Q28" s="180"/>
      <c r="R28" s="181"/>
    </row>
    <row r="29" spans="3:19" ht="15" customHeight="1">
      <c r="E29" s="179"/>
      <c r="F29" s="180"/>
      <c r="G29" s="180"/>
      <c r="H29" s="181"/>
      <c r="I29" s="9"/>
      <c r="J29" s="9"/>
      <c r="K29" s="9"/>
      <c r="L29" s="9"/>
      <c r="M29" s="9"/>
      <c r="N29" s="9"/>
      <c r="O29" s="179"/>
      <c r="P29" s="180"/>
      <c r="Q29" s="180"/>
      <c r="R29" s="181"/>
    </row>
    <row r="30" spans="3:19" ht="15" customHeight="1">
      <c r="E30" s="179"/>
      <c r="F30" s="180"/>
      <c r="G30" s="180"/>
      <c r="H30" s="181"/>
      <c r="I30" s="9"/>
      <c r="J30" s="9"/>
      <c r="K30" s="9"/>
      <c r="L30" s="9"/>
      <c r="M30" s="9"/>
      <c r="N30" s="9"/>
      <c r="O30" s="23"/>
      <c r="P30" s="24"/>
      <c r="Q30" s="24"/>
      <c r="R30" s="25"/>
    </row>
    <row r="31" spans="3:19" ht="15" customHeight="1">
      <c r="E31" s="179"/>
      <c r="F31" s="180"/>
      <c r="G31" s="180"/>
      <c r="H31" s="181"/>
      <c r="I31" s="9"/>
      <c r="J31" s="182" t="s">
        <v>74</v>
      </c>
      <c r="K31" s="183"/>
      <c r="L31" s="183"/>
      <c r="M31" s="184"/>
      <c r="N31" s="9"/>
      <c r="O31" s="179" t="s">
        <v>77</v>
      </c>
      <c r="P31" s="180"/>
      <c r="Q31" s="180"/>
      <c r="R31" s="181"/>
    </row>
    <row r="32" spans="3:19" ht="15" customHeight="1">
      <c r="E32" s="179"/>
      <c r="F32" s="180"/>
      <c r="G32" s="180"/>
      <c r="H32" s="181"/>
      <c r="I32" s="9"/>
      <c r="J32" s="185"/>
      <c r="K32" s="186"/>
      <c r="L32" s="186"/>
      <c r="M32" s="187"/>
      <c r="N32" s="9"/>
      <c r="O32" s="179"/>
      <c r="P32" s="180"/>
      <c r="Q32" s="180"/>
      <c r="R32" s="181"/>
    </row>
    <row r="33" spans="4:18" ht="15" customHeight="1">
      <c r="E33" s="179"/>
      <c r="F33" s="180"/>
      <c r="G33" s="180"/>
      <c r="H33" s="181"/>
      <c r="I33" s="9"/>
      <c r="J33" s="188"/>
      <c r="K33" s="189"/>
      <c r="L33" s="189"/>
      <c r="M33" s="190"/>
      <c r="N33" s="9"/>
      <c r="O33" s="179"/>
      <c r="P33" s="180"/>
      <c r="Q33" s="180"/>
      <c r="R33" s="181"/>
    </row>
    <row r="34" spans="4:18" ht="15" customHeight="1">
      <c r="E34" s="26"/>
      <c r="F34" s="27"/>
      <c r="G34" s="27"/>
      <c r="H34" s="28"/>
      <c r="I34" s="9"/>
      <c r="J34" s="9"/>
      <c r="K34" s="9"/>
      <c r="L34" s="9"/>
      <c r="M34" s="9"/>
      <c r="N34" s="9"/>
      <c r="O34" s="179"/>
      <c r="P34" s="180"/>
      <c r="Q34" s="180"/>
      <c r="R34" s="181"/>
    </row>
    <row r="35" spans="4:18" ht="15" customHeight="1">
      <c r="E35" s="26"/>
      <c r="F35" s="27"/>
      <c r="H35" s="28"/>
      <c r="I35" s="9"/>
      <c r="J35" s="32"/>
      <c r="K35" s="9"/>
      <c r="L35" s="9"/>
      <c r="M35" s="9"/>
      <c r="N35" s="9"/>
      <c r="O35" s="179"/>
      <c r="P35" s="180"/>
      <c r="Q35" s="180"/>
      <c r="R35" s="181"/>
    </row>
    <row r="36" spans="4:18" ht="15" customHeight="1">
      <c r="E36" s="26"/>
      <c r="F36" s="27"/>
      <c r="G36" s="27"/>
      <c r="H36" s="28"/>
      <c r="I36" s="9"/>
      <c r="J36" s="191" t="s">
        <v>75</v>
      </c>
      <c r="K36" s="192"/>
      <c r="L36" s="192"/>
      <c r="M36" s="193"/>
      <c r="N36" s="9"/>
      <c r="O36" s="29"/>
      <c r="P36" s="30"/>
      <c r="Q36" s="30"/>
      <c r="R36" s="31"/>
    </row>
    <row r="37" spans="4:18" ht="15" customHeight="1">
      <c r="E37" s="17"/>
      <c r="F37" s="18"/>
      <c r="G37" s="18"/>
      <c r="H37" s="19"/>
      <c r="I37" s="9"/>
      <c r="J37" s="194"/>
      <c r="K37" s="195"/>
      <c r="L37" s="195"/>
      <c r="M37" s="196"/>
      <c r="N37" s="9"/>
      <c r="O37" s="12"/>
      <c r="R37" s="13"/>
    </row>
    <row r="38" spans="4:18" ht="15" customHeight="1">
      <c r="E38" s="17"/>
      <c r="F38" s="18"/>
      <c r="G38" s="18"/>
      <c r="H38" s="19"/>
      <c r="I38" s="9"/>
      <c r="J38" s="197"/>
      <c r="K38" s="198"/>
      <c r="L38" s="198"/>
      <c r="M38" s="199"/>
      <c r="N38" s="9"/>
      <c r="O38" s="12"/>
      <c r="R38" s="13"/>
    </row>
    <row r="39" spans="4:18" ht="15" customHeight="1">
      <c r="E39" s="17"/>
      <c r="F39" s="18"/>
      <c r="G39" s="18"/>
      <c r="H39" s="19"/>
      <c r="I39" s="9"/>
      <c r="J39" s="9"/>
      <c r="K39" s="9"/>
      <c r="L39" s="9"/>
      <c r="M39" s="9"/>
      <c r="N39" s="9"/>
      <c r="O39" s="12"/>
      <c r="R39" s="13"/>
    </row>
    <row r="40" spans="4:18" ht="15" customHeight="1">
      <c r="E40" s="17"/>
      <c r="F40" s="18"/>
      <c r="G40" s="18"/>
      <c r="H40" s="19"/>
      <c r="I40" s="9"/>
      <c r="J40" s="9"/>
      <c r="K40" s="9"/>
      <c r="L40" s="9"/>
      <c r="M40" s="9"/>
      <c r="N40" s="9"/>
      <c r="O40" s="12"/>
      <c r="R40" s="13"/>
    </row>
    <row r="41" spans="4:18" ht="15" customHeight="1">
      <c r="E41" s="17"/>
      <c r="F41" s="18"/>
      <c r="G41" s="18"/>
      <c r="H41" s="19"/>
      <c r="I41" s="9"/>
      <c r="J41" s="182" t="s">
        <v>76</v>
      </c>
      <c r="K41" s="183"/>
      <c r="L41" s="183"/>
      <c r="M41" s="184"/>
      <c r="N41" s="9"/>
      <c r="O41" s="12"/>
      <c r="R41" s="13"/>
    </row>
    <row r="42" spans="4:18" ht="15" customHeight="1">
      <c r="E42" s="17"/>
      <c r="F42" s="18"/>
      <c r="G42" s="18"/>
      <c r="H42" s="19"/>
      <c r="I42" s="9"/>
      <c r="J42" s="185"/>
      <c r="K42" s="186"/>
      <c r="L42" s="186"/>
      <c r="M42" s="187"/>
      <c r="N42" s="9"/>
      <c r="O42" s="12"/>
      <c r="R42" s="13"/>
    </row>
    <row r="43" spans="4:18" ht="15" customHeight="1">
      <c r="E43" s="12"/>
      <c r="H43" s="13"/>
      <c r="I43" s="9"/>
      <c r="J43" s="185"/>
      <c r="K43" s="186"/>
      <c r="L43" s="186"/>
      <c r="M43" s="187"/>
      <c r="N43" s="9"/>
      <c r="O43" s="12"/>
      <c r="R43" s="13"/>
    </row>
    <row r="44" spans="4:18" ht="15" customHeight="1">
      <c r="E44" s="14"/>
      <c r="F44" s="11"/>
      <c r="G44" s="11"/>
      <c r="H44" s="15"/>
      <c r="I44" s="9"/>
      <c r="J44" s="188"/>
      <c r="K44" s="189"/>
      <c r="L44" s="189"/>
      <c r="M44" s="190"/>
      <c r="N44" s="9"/>
      <c r="O44" s="14"/>
      <c r="P44" s="11"/>
      <c r="Q44" s="11"/>
      <c r="R44" s="15"/>
    </row>
    <row r="45" spans="4:18" ht="15" customHeight="1"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</row>
    <row r="46" spans="4:18" ht="15" customHeight="1"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</row>
    <row r="47" spans="4:18" ht="15" customHeight="1"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</row>
    <row r="48" spans="4:18" ht="15" customHeight="1">
      <c r="D48" s="9"/>
      <c r="I48" s="9"/>
      <c r="J48" s="9"/>
      <c r="K48" s="9"/>
      <c r="L48" s="9"/>
      <c r="M48" s="9"/>
      <c r="N48" s="9"/>
    </row>
    <row r="49" spans="4:19" ht="15" customHeight="1">
      <c r="E49" s="16"/>
      <c r="F49" s="16"/>
      <c r="G49" s="16"/>
      <c r="H49" s="16"/>
      <c r="I49" s="33"/>
      <c r="J49" s="33"/>
      <c r="K49" s="33"/>
      <c r="L49" s="33"/>
      <c r="M49" s="33"/>
      <c r="N49" s="33"/>
      <c r="O49" s="16"/>
      <c r="P49" s="16"/>
      <c r="Q49" s="16"/>
      <c r="R49" s="16"/>
    </row>
    <row r="50" spans="4:19" ht="15" customHeight="1">
      <c r="D50" s="178" t="s">
        <v>69</v>
      </c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</row>
    <row r="51" spans="4:19" ht="15" customHeight="1">
      <c r="I51" s="9"/>
      <c r="J51" s="9"/>
      <c r="K51" s="9"/>
      <c r="L51" s="9"/>
      <c r="M51" s="9"/>
      <c r="N51" s="9"/>
    </row>
    <row r="52" spans="4:19" ht="15" customHeight="1">
      <c r="I52" s="9"/>
      <c r="J52" s="9"/>
      <c r="K52" s="9"/>
      <c r="L52" s="9"/>
      <c r="M52" s="9"/>
      <c r="N52" s="9"/>
    </row>
    <row r="53" spans="4:19" ht="15" customHeight="1">
      <c r="I53" s="9"/>
      <c r="J53" s="9"/>
      <c r="K53" s="9"/>
      <c r="L53" s="9"/>
      <c r="M53" s="9"/>
      <c r="N53" s="9"/>
    </row>
    <row r="54" spans="4:19" ht="15" customHeight="1">
      <c r="J54" s="9"/>
      <c r="K54" s="9"/>
      <c r="L54" s="9"/>
      <c r="M54" s="9"/>
    </row>
    <row r="60" spans="4:19" ht="15" customHeight="1"/>
    <row r="61" spans="4:19" ht="20" customHeight="1"/>
  </sheetData>
  <mergeCells count="14">
    <mergeCell ref="E22:H23"/>
    <mergeCell ref="J22:M23"/>
    <mergeCell ref="O22:R23"/>
    <mergeCell ref="F8:K14"/>
    <mergeCell ref="D3:S7"/>
    <mergeCell ref="D17:S18"/>
    <mergeCell ref="D50:S50"/>
    <mergeCell ref="O26:R29"/>
    <mergeCell ref="O31:R35"/>
    <mergeCell ref="E25:H33"/>
    <mergeCell ref="J26:M28"/>
    <mergeCell ref="J31:M33"/>
    <mergeCell ref="J36:M38"/>
    <mergeCell ref="J41:M44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owInputs">
                <anchor moveWithCells="1" sizeWithCells="1">
                  <from>
                    <xdr:col>14</xdr:col>
                    <xdr:colOff>609600</xdr:colOff>
                    <xdr:row>39</xdr:row>
                    <xdr:rowOff>190500</xdr:rowOff>
                  </from>
                  <to>
                    <xdr:col>17</xdr:col>
                    <xdr:colOff>317500</xdr:colOff>
                    <xdr:row>42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LearnMore" altText="Learn More_x000a_">
                <anchor moveWithCells="1">
                  <from>
                    <xdr:col>4</xdr:col>
                    <xdr:colOff>711200</xdr:colOff>
                    <xdr:row>40</xdr:row>
                    <xdr:rowOff>25400</xdr:rowOff>
                  </from>
                  <to>
                    <xdr:col>7</xdr:col>
                    <xdr:colOff>114300</xdr:colOff>
                    <xdr:row>42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8F0C3-7C65-BB4F-818F-A78F8944BE23}">
  <sheetPr codeName="Sheet2"/>
  <dimension ref="B1:X51"/>
  <sheetViews>
    <sheetView showGridLines="0" topLeftCell="A19" zoomScale="79" zoomScaleNormal="75" workbookViewId="0">
      <selection activeCell="J46" sqref="J46"/>
    </sheetView>
  </sheetViews>
  <sheetFormatPr baseColWidth="10" defaultColWidth="11.5" defaultRowHeight="15"/>
  <cols>
    <col min="2" max="4" width="17.6640625" customWidth="1"/>
    <col min="5" max="5" width="12.5" customWidth="1"/>
    <col min="6" max="6" width="43" customWidth="1"/>
    <col min="7" max="7" width="19.1640625" customWidth="1"/>
    <col min="8" max="8" width="6" customWidth="1"/>
    <col min="9" max="9" width="19.1640625" customWidth="1"/>
  </cols>
  <sheetData>
    <row r="1" spans="2:24" ht="15" customHeight="1">
      <c r="E1" s="9"/>
      <c r="F1" s="9"/>
      <c r="G1" s="9"/>
      <c r="H1" s="9"/>
      <c r="I1" s="9"/>
      <c r="J1" s="9"/>
      <c r="K1" s="9"/>
      <c r="L1" s="9"/>
      <c r="M1" s="9"/>
    </row>
    <row r="2" spans="2:24" ht="15" customHeight="1">
      <c r="B2" s="9"/>
      <c r="C2" s="9"/>
      <c r="D2" s="9"/>
      <c r="E2" s="213" t="s">
        <v>51</v>
      </c>
      <c r="F2" s="213"/>
      <c r="G2" s="213"/>
      <c r="H2" s="213"/>
      <c r="I2" s="213"/>
      <c r="J2" s="213"/>
      <c r="K2" s="213"/>
      <c r="L2" s="213"/>
      <c r="M2" s="213"/>
    </row>
    <row r="3" spans="2:24" ht="15" customHeight="1">
      <c r="B3" s="9"/>
      <c r="C3" s="9"/>
      <c r="D3" s="9"/>
      <c r="E3" s="213"/>
      <c r="F3" s="213"/>
      <c r="G3" s="213"/>
      <c r="H3" s="213"/>
      <c r="I3" s="213"/>
      <c r="J3" s="213"/>
      <c r="K3" s="213"/>
      <c r="L3" s="213"/>
      <c r="M3" s="213"/>
      <c r="N3" s="69"/>
    </row>
    <row r="4" spans="2:24" ht="15" customHeight="1">
      <c r="B4" s="9"/>
      <c r="C4" s="9"/>
      <c r="D4" s="9"/>
      <c r="E4" s="213"/>
      <c r="F4" s="213"/>
      <c r="G4" s="213"/>
      <c r="H4" s="213"/>
      <c r="I4" s="213"/>
      <c r="J4" s="213"/>
      <c r="K4" s="213"/>
      <c r="L4" s="213"/>
      <c r="M4" s="213"/>
      <c r="N4" s="69"/>
    </row>
    <row r="5" spans="2:24" ht="15" customHeight="1">
      <c r="B5" s="9"/>
      <c r="C5" s="9"/>
      <c r="D5" s="9"/>
      <c r="E5" s="72"/>
      <c r="F5" s="72"/>
      <c r="G5" s="72"/>
      <c r="H5" s="72"/>
      <c r="I5" s="72"/>
      <c r="J5" s="72"/>
      <c r="K5" s="72"/>
      <c r="L5" s="72"/>
      <c r="M5" s="72"/>
      <c r="N5" s="69"/>
    </row>
    <row r="6" spans="2:24" ht="15" customHeight="1">
      <c r="B6" s="9"/>
      <c r="C6" s="9"/>
      <c r="D6" s="9"/>
      <c r="E6" s="69"/>
      <c r="F6" s="69"/>
      <c r="G6" s="69"/>
      <c r="H6" s="69"/>
      <c r="I6" s="69"/>
      <c r="J6" s="69"/>
      <c r="K6" s="69"/>
      <c r="L6" s="69"/>
      <c r="M6" s="69"/>
      <c r="N6" s="69"/>
    </row>
    <row r="7" spans="2:24" ht="15" customHeight="1">
      <c r="B7" s="9"/>
      <c r="C7" s="9"/>
      <c r="D7" s="9"/>
      <c r="G7" s="45"/>
      <c r="H7" s="45"/>
      <c r="I7" s="45"/>
      <c r="J7" s="45"/>
      <c r="K7" s="45"/>
      <c r="L7" s="45"/>
      <c r="M7" s="45"/>
      <c r="Q7" s="211"/>
      <c r="R7" s="212"/>
      <c r="S7" s="212"/>
      <c r="T7" s="212"/>
      <c r="U7" s="212"/>
      <c r="V7" s="212"/>
      <c r="W7" s="212"/>
      <c r="X7" s="212"/>
    </row>
    <row r="8" spans="2:24" ht="15" customHeight="1">
      <c r="B8" s="9"/>
      <c r="C8" s="9"/>
      <c r="D8" s="9"/>
      <c r="F8" s="45"/>
      <c r="G8" s="45"/>
      <c r="H8" s="45"/>
      <c r="I8" s="45"/>
      <c r="J8" s="45"/>
      <c r="K8" s="45"/>
      <c r="L8" s="45"/>
      <c r="M8" s="45"/>
      <c r="Q8" s="212"/>
      <c r="R8" s="212"/>
      <c r="S8" s="212"/>
      <c r="T8" s="212"/>
      <c r="U8" s="212"/>
      <c r="V8" s="212"/>
      <c r="W8" s="212"/>
      <c r="X8" s="212"/>
    </row>
    <row r="9" spans="2:24" ht="15" customHeight="1">
      <c r="B9" s="9"/>
      <c r="C9" s="9"/>
      <c r="D9" s="9"/>
      <c r="F9" s="45"/>
      <c r="G9" s="45"/>
      <c r="H9" s="45"/>
      <c r="I9" s="45"/>
      <c r="J9" s="45"/>
      <c r="K9" s="45"/>
      <c r="L9" s="45"/>
      <c r="M9" s="45"/>
      <c r="Q9" s="212"/>
      <c r="R9" s="212"/>
      <c r="S9" s="212"/>
      <c r="T9" s="212"/>
      <c r="U9" s="212"/>
      <c r="V9" s="212"/>
      <c r="W9" s="212"/>
      <c r="X9" s="212"/>
    </row>
    <row r="10" spans="2:24" ht="15" customHeight="1">
      <c r="B10" s="9"/>
      <c r="C10" s="9"/>
      <c r="D10" s="9"/>
      <c r="E10" s="70"/>
      <c r="F10" s="71"/>
      <c r="G10" s="71"/>
      <c r="H10" s="71"/>
      <c r="I10" s="71"/>
      <c r="J10" s="71"/>
      <c r="K10" s="71"/>
      <c r="L10" s="71"/>
      <c r="M10" s="71"/>
      <c r="Q10" s="212"/>
      <c r="R10" s="212"/>
      <c r="S10" s="212"/>
      <c r="T10" s="212"/>
      <c r="U10" s="212"/>
      <c r="V10" s="212"/>
      <c r="W10" s="212"/>
      <c r="X10" s="212"/>
    </row>
    <row r="11" spans="2:24" ht="15" customHeight="1">
      <c r="B11" s="9"/>
      <c r="C11" s="9"/>
      <c r="D11" s="9"/>
      <c r="E11" s="44"/>
      <c r="F11" s="45"/>
      <c r="G11" s="45"/>
      <c r="H11" s="45"/>
      <c r="I11" s="45"/>
      <c r="J11" s="45"/>
      <c r="K11" s="45"/>
      <c r="L11" s="45"/>
      <c r="M11" s="45"/>
      <c r="Q11" s="212"/>
      <c r="R11" s="212"/>
      <c r="S11" s="212"/>
      <c r="T11" s="212"/>
      <c r="U11" s="212"/>
      <c r="V11" s="212"/>
      <c r="W11" s="212"/>
      <c r="X11" s="212"/>
    </row>
    <row r="12" spans="2:24" ht="21">
      <c r="B12" s="9"/>
      <c r="C12" s="9"/>
      <c r="D12" s="9"/>
      <c r="E12" s="40"/>
      <c r="F12" s="75" t="s">
        <v>59</v>
      </c>
      <c r="G12" s="76"/>
      <c r="H12" s="76"/>
      <c r="I12" s="76"/>
      <c r="J12" s="76"/>
      <c r="K12" s="76"/>
      <c r="L12" s="77"/>
      <c r="M12" s="35"/>
      <c r="Q12" s="212"/>
      <c r="R12" s="212"/>
      <c r="S12" s="212"/>
      <c r="T12" s="212"/>
      <c r="U12" s="212"/>
      <c r="V12" s="212"/>
      <c r="W12" s="212"/>
      <c r="X12" s="212"/>
    </row>
    <row r="13" spans="2:24" ht="20" thickBot="1">
      <c r="B13" s="9"/>
      <c r="C13" s="9"/>
      <c r="D13" s="9"/>
      <c r="E13" s="35"/>
      <c r="F13" s="41"/>
      <c r="G13" s="42"/>
      <c r="H13" s="42"/>
      <c r="I13" s="42"/>
      <c r="J13" s="36"/>
      <c r="K13" s="36"/>
      <c r="L13" s="37"/>
      <c r="M13" s="35"/>
      <c r="Q13" s="212"/>
      <c r="R13" s="212"/>
      <c r="S13" s="212"/>
      <c r="T13" s="212"/>
      <c r="U13" s="212"/>
      <c r="V13" s="212"/>
      <c r="W13" s="212"/>
      <c r="X13" s="212"/>
    </row>
    <row r="14" spans="2:24" ht="22" thickTop="1" thickBot="1">
      <c r="B14" s="9"/>
      <c r="D14" s="9"/>
      <c r="E14" s="35"/>
      <c r="F14" s="89" t="s">
        <v>0</v>
      </c>
      <c r="G14" s="47">
        <v>50000</v>
      </c>
      <c r="H14" s="48"/>
      <c r="I14" s="48"/>
      <c r="J14" s="36"/>
      <c r="K14" s="36"/>
      <c r="L14" s="37"/>
      <c r="M14" s="35"/>
      <c r="Q14" s="212"/>
      <c r="R14" s="212"/>
      <c r="S14" s="212"/>
      <c r="T14" s="212"/>
      <c r="U14" s="212"/>
      <c r="V14" s="212"/>
      <c r="W14" s="212"/>
      <c r="X14" s="212"/>
    </row>
    <row r="15" spans="2:24" ht="21" thickTop="1" thickBot="1">
      <c r="B15" s="9"/>
      <c r="C15" s="9"/>
      <c r="D15" s="9"/>
      <c r="E15" s="35"/>
      <c r="F15" s="80"/>
      <c r="G15" s="49"/>
      <c r="H15" s="48"/>
      <c r="I15" s="48"/>
      <c r="J15" s="36"/>
      <c r="K15" s="36"/>
      <c r="L15" s="37"/>
      <c r="M15" s="35"/>
      <c r="Q15" s="212"/>
      <c r="R15" s="212"/>
      <c r="S15" s="212"/>
      <c r="T15" s="212"/>
      <c r="U15" s="212"/>
      <c r="V15" s="212"/>
      <c r="W15" s="212"/>
      <c r="X15" s="212"/>
    </row>
    <row r="16" spans="2:24" ht="22" thickTop="1" thickBot="1">
      <c r="B16" s="9"/>
      <c r="C16" s="9"/>
      <c r="D16" s="9"/>
      <c r="E16" s="35"/>
      <c r="F16" s="78" t="s">
        <v>46</v>
      </c>
      <c r="G16" s="47">
        <v>12000</v>
      </c>
      <c r="H16" s="48"/>
      <c r="I16" s="48"/>
      <c r="J16" s="36"/>
      <c r="K16" s="36"/>
      <c r="L16" s="37"/>
      <c r="M16" s="35"/>
      <c r="Q16" s="212"/>
      <c r="R16" s="212"/>
      <c r="S16" s="212"/>
      <c r="T16" s="212"/>
      <c r="U16" s="212"/>
      <c r="V16" s="212"/>
      <c r="W16" s="212"/>
      <c r="X16" s="212"/>
    </row>
    <row r="17" spans="2:24" ht="20" thickTop="1">
      <c r="B17" s="9"/>
      <c r="C17" s="9"/>
      <c r="D17" s="9"/>
      <c r="E17" s="35"/>
      <c r="F17" s="80"/>
      <c r="G17" s="49"/>
      <c r="H17" s="48"/>
      <c r="I17" s="48"/>
      <c r="J17" s="36"/>
      <c r="K17" s="36"/>
      <c r="L17" s="37"/>
      <c r="M17" s="35"/>
      <c r="Q17" s="212"/>
      <c r="R17" s="212"/>
      <c r="S17" s="212"/>
      <c r="T17" s="212"/>
      <c r="U17" s="212"/>
      <c r="V17" s="212"/>
      <c r="W17" s="212"/>
      <c r="X17" s="212"/>
    </row>
    <row r="18" spans="2:24" ht="21">
      <c r="B18" s="9"/>
      <c r="C18" s="9"/>
      <c r="D18" s="9"/>
      <c r="E18" s="35"/>
      <c r="F18" s="81" t="s">
        <v>52</v>
      </c>
      <c r="G18" s="50"/>
      <c r="H18" s="51"/>
      <c r="I18" s="51"/>
      <c r="J18" s="34"/>
      <c r="K18" s="34"/>
      <c r="L18" s="34"/>
      <c r="M18" s="35"/>
      <c r="Q18" s="212"/>
      <c r="R18" s="212"/>
      <c r="S18" s="212"/>
      <c r="T18" s="212"/>
      <c r="U18" s="212"/>
      <c r="V18" s="212"/>
      <c r="W18" s="212"/>
      <c r="X18" s="212"/>
    </row>
    <row r="19" spans="2:24" ht="19">
      <c r="B19" s="9"/>
      <c r="C19" s="9"/>
      <c r="D19" s="9"/>
      <c r="E19" s="35"/>
      <c r="F19" s="82"/>
      <c r="G19" s="52"/>
      <c r="H19" s="53"/>
      <c r="I19" s="53"/>
      <c r="J19" s="37"/>
      <c r="K19" s="37"/>
      <c r="L19" s="37"/>
      <c r="M19" s="35"/>
      <c r="Q19" s="212"/>
      <c r="R19" s="212"/>
      <c r="S19" s="212"/>
      <c r="T19" s="212"/>
      <c r="U19" s="212"/>
      <c r="V19" s="212"/>
      <c r="W19" s="212"/>
      <c r="X19" s="212"/>
    </row>
    <row r="20" spans="2:24" ht="19">
      <c r="B20" s="9"/>
      <c r="C20" s="9"/>
      <c r="D20" s="9"/>
      <c r="E20" s="35"/>
      <c r="F20" s="83"/>
      <c r="G20" s="46" t="s">
        <v>40</v>
      </c>
      <c r="H20" s="46"/>
      <c r="I20" s="46" t="s">
        <v>47</v>
      </c>
      <c r="J20" s="38"/>
      <c r="K20" s="37"/>
      <c r="L20" s="37"/>
      <c r="M20" s="35"/>
      <c r="Q20" s="212"/>
      <c r="R20" s="212"/>
      <c r="S20" s="212"/>
      <c r="T20" s="212"/>
      <c r="U20" s="212"/>
      <c r="V20" s="212"/>
      <c r="W20" s="212"/>
      <c r="X20" s="212"/>
    </row>
    <row r="21" spans="2:24" ht="20" thickBot="1">
      <c r="B21" s="9"/>
      <c r="C21" s="9"/>
      <c r="D21" s="9"/>
      <c r="E21" s="35"/>
      <c r="F21" s="43"/>
      <c r="G21" s="46"/>
      <c r="H21" s="46"/>
      <c r="I21" s="46"/>
      <c r="J21" s="38"/>
      <c r="K21" s="38"/>
      <c r="L21" s="37"/>
      <c r="M21" s="35"/>
      <c r="Q21" s="212"/>
      <c r="R21" s="212"/>
      <c r="S21" s="212"/>
      <c r="T21" s="212"/>
      <c r="U21" s="212"/>
      <c r="V21" s="212"/>
      <c r="W21" s="212"/>
      <c r="X21" s="212"/>
    </row>
    <row r="22" spans="2:24" ht="21" thickTop="1" thickBot="1">
      <c r="B22" s="9"/>
      <c r="C22" s="9"/>
      <c r="D22" s="9"/>
      <c r="E22" s="35"/>
      <c r="F22" s="79" t="s">
        <v>41</v>
      </c>
      <c r="G22" s="47">
        <v>25000</v>
      </c>
      <c r="H22" s="46"/>
      <c r="I22" s="47">
        <v>43000</v>
      </c>
      <c r="J22" s="38"/>
      <c r="K22" s="37"/>
      <c r="L22" s="37"/>
      <c r="M22" s="35"/>
      <c r="Q22" s="212"/>
      <c r="R22" s="212"/>
      <c r="S22" s="212"/>
      <c r="T22" s="212"/>
      <c r="U22" s="212"/>
      <c r="V22" s="212"/>
      <c r="W22" s="212"/>
      <c r="X22" s="212"/>
    </row>
    <row r="23" spans="2:24" ht="20" thickTop="1">
      <c r="B23" s="9"/>
      <c r="C23" s="9"/>
      <c r="D23" s="9"/>
      <c r="E23" s="35"/>
      <c r="F23" s="65"/>
      <c r="G23" s="46"/>
      <c r="H23" s="54"/>
      <c r="I23" s="54"/>
      <c r="J23" s="38"/>
      <c r="K23" s="37"/>
      <c r="L23" s="37"/>
      <c r="M23" s="35"/>
      <c r="Q23" s="212"/>
      <c r="R23" s="212"/>
      <c r="S23" s="212"/>
      <c r="T23" s="212"/>
      <c r="U23" s="212"/>
      <c r="V23" s="212"/>
      <c r="W23" s="212"/>
      <c r="X23" s="212"/>
    </row>
    <row r="24" spans="2:24" ht="21">
      <c r="E24" s="35"/>
      <c r="F24" s="67" t="s">
        <v>53</v>
      </c>
      <c r="G24" s="55"/>
      <c r="H24" s="56"/>
      <c r="I24" s="56"/>
      <c r="J24" s="39"/>
      <c r="K24" s="34"/>
      <c r="L24" s="34"/>
      <c r="M24" s="35"/>
      <c r="Q24" s="212"/>
      <c r="R24" s="212"/>
      <c r="S24" s="212"/>
      <c r="T24" s="212"/>
      <c r="U24" s="212"/>
      <c r="V24" s="212"/>
      <c r="W24" s="212"/>
      <c r="X24" s="212"/>
    </row>
    <row r="25" spans="2:24" ht="20" thickBot="1">
      <c r="E25" s="35"/>
      <c r="F25" s="65"/>
      <c r="G25" s="46"/>
      <c r="H25" s="54"/>
      <c r="I25" s="54"/>
      <c r="J25" s="38"/>
      <c r="K25" s="37"/>
      <c r="L25" s="37"/>
      <c r="M25" s="35"/>
      <c r="Q25" s="212"/>
      <c r="R25" s="212"/>
      <c r="S25" s="212"/>
      <c r="T25" s="212"/>
      <c r="U25" s="212"/>
      <c r="V25" s="212"/>
      <c r="W25" s="212"/>
      <c r="X25" s="212"/>
    </row>
    <row r="26" spans="2:24" ht="21" thickTop="1" thickBot="1">
      <c r="E26" s="35"/>
      <c r="F26" s="84" t="s">
        <v>56</v>
      </c>
      <c r="G26" s="57">
        <v>13</v>
      </c>
      <c r="H26" s="53"/>
      <c r="I26" s="54"/>
      <c r="J26" s="38"/>
      <c r="K26" s="37"/>
      <c r="L26" s="37"/>
      <c r="M26" s="35"/>
      <c r="Q26" s="212"/>
      <c r="R26" s="212"/>
      <c r="S26" s="212"/>
      <c r="T26" s="212"/>
      <c r="U26" s="212"/>
      <c r="V26" s="212"/>
      <c r="W26" s="212"/>
      <c r="X26" s="212"/>
    </row>
    <row r="27" spans="2:24" ht="21" thickTop="1" thickBot="1">
      <c r="E27" s="40"/>
      <c r="F27" s="85"/>
      <c r="G27" s="58"/>
      <c r="H27" s="53"/>
      <c r="I27" s="54"/>
      <c r="J27" s="38"/>
      <c r="K27" s="37"/>
      <c r="L27" s="37"/>
      <c r="M27" s="35"/>
      <c r="Q27" s="212"/>
      <c r="R27" s="212"/>
      <c r="S27" s="212"/>
      <c r="T27" s="212"/>
      <c r="U27" s="212"/>
      <c r="V27" s="212"/>
      <c r="W27" s="212"/>
      <c r="X27" s="212"/>
    </row>
    <row r="28" spans="2:24" ht="21" thickTop="1" thickBot="1">
      <c r="E28" s="40"/>
      <c r="F28" s="84" t="s">
        <v>55</v>
      </c>
      <c r="G28" s="57">
        <v>0.3</v>
      </c>
      <c r="H28" s="53"/>
      <c r="I28" s="54"/>
      <c r="J28" s="38"/>
      <c r="K28" s="37"/>
      <c r="L28" s="37"/>
      <c r="M28" s="35"/>
      <c r="Q28" s="212"/>
      <c r="R28" s="212"/>
      <c r="S28" s="212"/>
      <c r="T28" s="212"/>
      <c r="U28" s="212"/>
      <c r="V28" s="212"/>
      <c r="W28" s="212"/>
      <c r="X28" s="212"/>
    </row>
    <row r="29" spans="2:24" ht="21" thickTop="1" thickBot="1">
      <c r="E29" s="40"/>
      <c r="F29" s="85"/>
      <c r="G29" s="58"/>
      <c r="H29" s="53"/>
      <c r="I29" s="54"/>
      <c r="J29" s="38"/>
      <c r="K29" s="37"/>
      <c r="L29" s="37"/>
      <c r="M29" s="35"/>
    </row>
    <row r="30" spans="2:24" ht="21" thickTop="1" thickBot="1">
      <c r="E30" s="40"/>
      <c r="F30" s="84" t="s">
        <v>57</v>
      </c>
      <c r="G30" s="57">
        <v>0.2</v>
      </c>
      <c r="H30" s="53"/>
      <c r="I30" s="54"/>
      <c r="J30" s="38"/>
      <c r="K30" s="37"/>
      <c r="L30" s="37"/>
      <c r="M30" s="35"/>
    </row>
    <row r="31" spans="2:24" ht="20" thickTop="1">
      <c r="E31" s="40"/>
      <c r="F31" s="61"/>
      <c r="G31" s="52"/>
      <c r="H31" s="53"/>
      <c r="I31" s="54"/>
      <c r="J31" s="38"/>
      <c r="K31" s="37"/>
      <c r="L31" s="37"/>
      <c r="M31" s="35"/>
    </row>
    <row r="32" spans="2:24" ht="21">
      <c r="E32" s="40"/>
      <c r="F32" s="66" t="s">
        <v>58</v>
      </c>
      <c r="G32" s="50"/>
      <c r="H32" s="51"/>
      <c r="I32" s="56"/>
      <c r="J32" s="39"/>
      <c r="K32" s="34"/>
      <c r="L32" s="34"/>
      <c r="M32" s="35"/>
    </row>
    <row r="33" spans="5:13" ht="20" thickBot="1">
      <c r="E33" s="40"/>
      <c r="F33" s="61"/>
      <c r="G33" s="52"/>
      <c r="H33" s="53"/>
      <c r="I33" s="54"/>
      <c r="J33" s="38"/>
      <c r="K33" s="37"/>
      <c r="L33" s="37"/>
      <c r="M33" s="35"/>
    </row>
    <row r="34" spans="5:13" ht="21" thickTop="1" thickBot="1">
      <c r="E34" s="40"/>
      <c r="F34" s="84" t="s">
        <v>54</v>
      </c>
      <c r="G34" s="57">
        <v>3.7</v>
      </c>
      <c r="H34" s="53"/>
      <c r="I34" s="54"/>
      <c r="J34" s="38"/>
      <c r="K34" s="37"/>
      <c r="L34" s="37"/>
      <c r="M34" s="35"/>
    </row>
    <row r="35" spans="5:13" ht="20" thickTop="1">
      <c r="E35" s="40"/>
      <c r="F35" s="61"/>
      <c r="G35" s="52"/>
      <c r="H35" s="53"/>
      <c r="I35" s="54"/>
      <c r="J35" s="38"/>
      <c r="K35" s="37"/>
      <c r="L35" s="37"/>
      <c r="M35" s="35"/>
    </row>
    <row r="36" spans="5:13" ht="21">
      <c r="E36" s="40"/>
      <c r="F36" s="66" t="s">
        <v>28</v>
      </c>
      <c r="G36" s="50"/>
      <c r="H36" s="51"/>
      <c r="I36" s="56"/>
      <c r="J36" s="39"/>
      <c r="K36" s="34"/>
      <c r="L36" s="34"/>
      <c r="M36" s="35"/>
    </row>
    <row r="37" spans="5:13" ht="20" thickBot="1">
      <c r="E37" s="40"/>
      <c r="F37" s="86"/>
      <c r="G37" s="52"/>
      <c r="H37" s="53"/>
      <c r="I37" s="54"/>
      <c r="J37" s="38"/>
      <c r="K37" s="37"/>
      <c r="L37" s="37"/>
      <c r="M37" s="35"/>
    </row>
    <row r="38" spans="5:13" ht="21" thickTop="1" thickBot="1">
      <c r="E38" s="40"/>
      <c r="F38" s="87" t="s">
        <v>28</v>
      </c>
      <c r="G38" s="59">
        <v>0.08</v>
      </c>
      <c r="H38" s="53"/>
      <c r="I38" s="53"/>
      <c r="J38" s="37"/>
      <c r="K38" s="37"/>
      <c r="L38" s="37"/>
      <c r="M38" s="35"/>
    </row>
    <row r="39" spans="5:13" ht="20" thickTop="1">
      <c r="E39" s="40"/>
      <c r="F39" s="61"/>
      <c r="G39" s="60"/>
      <c r="H39" s="61"/>
      <c r="I39" s="61"/>
      <c r="J39" s="37"/>
      <c r="K39" s="37"/>
      <c r="L39" s="37"/>
      <c r="M39" s="35"/>
    </row>
    <row r="40" spans="5:13" ht="21">
      <c r="E40" s="40"/>
      <c r="F40" s="66" t="s">
        <v>64</v>
      </c>
      <c r="G40" s="62"/>
      <c r="H40" s="63"/>
      <c r="I40" s="63"/>
      <c r="J40" s="34"/>
      <c r="K40" s="34"/>
      <c r="L40" s="34"/>
      <c r="M40" s="35"/>
    </row>
    <row r="41" spans="5:13" ht="20" thickBot="1">
      <c r="E41" s="35"/>
      <c r="F41" s="61"/>
      <c r="G41" s="60"/>
      <c r="H41" s="61"/>
      <c r="I41" s="61"/>
      <c r="J41" s="37"/>
      <c r="K41" s="37"/>
      <c r="L41" s="37"/>
      <c r="M41" s="35"/>
    </row>
    <row r="42" spans="5:13" ht="21" thickTop="1" thickBot="1">
      <c r="E42" s="35"/>
      <c r="F42" s="87" t="s">
        <v>65</v>
      </c>
      <c r="G42" s="64">
        <v>10</v>
      </c>
      <c r="H42" s="61"/>
      <c r="I42" s="61"/>
      <c r="J42" s="37"/>
      <c r="K42" s="37"/>
      <c r="L42" s="37"/>
      <c r="M42" s="35"/>
    </row>
    <row r="43" spans="5:13" ht="20" thickTop="1">
      <c r="E43" s="35"/>
      <c r="F43" s="61"/>
      <c r="G43" s="65"/>
      <c r="H43" s="61"/>
      <c r="I43" s="61"/>
      <c r="J43" s="37"/>
      <c r="K43" s="37"/>
      <c r="L43" s="37"/>
      <c r="M43" s="35"/>
    </row>
    <row r="44" spans="5:13" ht="19">
      <c r="E44" s="40"/>
      <c r="F44" s="61"/>
      <c r="G44" s="65"/>
      <c r="H44" s="61"/>
      <c r="I44" s="61"/>
      <c r="J44" s="37"/>
      <c r="K44" s="37"/>
      <c r="L44" s="37"/>
      <c r="M44" s="35"/>
    </row>
    <row r="45" spans="5:13" ht="21">
      <c r="E45" s="40"/>
      <c r="F45" s="68" t="s">
        <v>38</v>
      </c>
      <c r="G45" s="63"/>
      <c r="H45" s="63"/>
      <c r="I45" s="63"/>
      <c r="J45" s="34"/>
      <c r="K45" s="34"/>
      <c r="L45" s="34"/>
      <c r="M45" s="35"/>
    </row>
    <row r="46" spans="5:13" ht="20" thickBot="1">
      <c r="E46" s="40"/>
      <c r="F46" s="65"/>
      <c r="G46" s="65"/>
      <c r="H46" s="65"/>
      <c r="I46" s="65"/>
      <c r="J46" s="38"/>
      <c r="K46" s="38"/>
      <c r="L46" s="38"/>
      <c r="M46" s="35"/>
    </row>
    <row r="47" spans="5:13" ht="21" thickTop="1" thickBot="1">
      <c r="E47" s="40"/>
      <c r="F47" s="88" t="s">
        <v>66</v>
      </c>
      <c r="G47" s="64">
        <v>1.645</v>
      </c>
      <c r="H47" s="65"/>
      <c r="I47" s="65"/>
      <c r="J47" s="38"/>
      <c r="K47" s="38"/>
      <c r="L47" s="38"/>
      <c r="M47" s="38"/>
    </row>
    <row r="48" spans="5:13" ht="16" thickTop="1">
      <c r="E48" s="40"/>
      <c r="F48" s="35"/>
      <c r="G48" s="35"/>
      <c r="H48" s="35"/>
      <c r="I48" s="35"/>
      <c r="J48" s="35"/>
      <c r="K48" s="35"/>
      <c r="L48" s="35"/>
      <c r="M48" s="35"/>
    </row>
    <row r="49" spans="5:13">
      <c r="E49" s="35"/>
      <c r="F49" s="35"/>
      <c r="G49" s="40"/>
      <c r="H49" s="40"/>
      <c r="I49" s="40"/>
      <c r="J49" s="40"/>
      <c r="K49" s="40"/>
      <c r="L49" s="40"/>
      <c r="M49" s="40"/>
    </row>
    <row r="50" spans="5:13">
      <c r="E50" s="73"/>
      <c r="F50" s="73"/>
      <c r="G50" s="74"/>
      <c r="H50" s="74"/>
      <c r="I50" s="74"/>
      <c r="J50" s="74"/>
      <c r="K50" s="74"/>
      <c r="L50" s="74"/>
      <c r="M50" s="74"/>
    </row>
    <row r="51" spans="5:13">
      <c r="E51" s="35"/>
      <c r="F51" s="35"/>
      <c r="G51" s="40"/>
      <c r="H51" s="40"/>
      <c r="I51" s="40"/>
      <c r="J51" s="40"/>
      <c r="K51" s="40"/>
      <c r="L51" s="40"/>
      <c r="M51" s="40"/>
    </row>
  </sheetData>
  <mergeCells count="2">
    <mergeCell ref="Q7:X28"/>
    <mergeCell ref="E2:M4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unSimulation">
                <anchor moveWithCells="1">
                  <from>
                    <xdr:col>8</xdr:col>
                    <xdr:colOff>444500</xdr:colOff>
                    <xdr:row>50</xdr:row>
                    <xdr:rowOff>25400</xdr:rowOff>
                  </from>
                  <to>
                    <xdr:col>10</xdr:col>
                    <xdr:colOff>850900</xdr:colOff>
                    <xdr:row>53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4" name="Button 26">
              <controlPr defaultSize="0" print="0" autoFill="0" autoPict="0" macro="[0]!ZScoreTable" altText="Guide">
                <anchor moveWithCells="1" sizeWithCells="1">
                  <from>
                    <xdr:col>5</xdr:col>
                    <xdr:colOff>660400</xdr:colOff>
                    <xdr:row>50</xdr:row>
                    <xdr:rowOff>25400</xdr:rowOff>
                  </from>
                  <to>
                    <xdr:col>5</xdr:col>
                    <xdr:colOff>3263900</xdr:colOff>
                    <xdr:row>52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5" name="Button 27">
              <controlPr defaultSize="0" print="0" autoFill="0" autoPict="0" macro="[0]!ViewGuide" altText="User Guide">
                <anchor moveWithCells="1" sizeWithCells="1">
                  <from>
                    <xdr:col>5</xdr:col>
                    <xdr:colOff>2374900</xdr:colOff>
                    <xdr:row>5</xdr:row>
                    <xdr:rowOff>177800</xdr:rowOff>
                  </from>
                  <to>
                    <xdr:col>12</xdr:col>
                    <xdr:colOff>76200</xdr:colOff>
                    <xdr:row>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043"/>
  <sheetViews>
    <sheetView showGridLines="0" topLeftCell="A33" zoomScale="165" zoomScaleNormal="90" workbookViewId="0">
      <selection activeCell="B43" sqref="B43"/>
    </sheetView>
  </sheetViews>
  <sheetFormatPr baseColWidth="10" defaultColWidth="9.1640625" defaultRowHeight="15"/>
  <cols>
    <col min="1" max="1" width="35.1640625" style="1" customWidth="1"/>
    <col min="2" max="2" width="22.83203125" style="1" customWidth="1"/>
    <col min="3" max="3" width="21.1640625" style="1" customWidth="1"/>
    <col min="4" max="5" width="20.6640625" style="1" customWidth="1"/>
    <col min="6" max="6" width="22.6640625" style="1" customWidth="1"/>
    <col min="7" max="7" width="22.33203125" style="1" customWidth="1"/>
    <col min="8" max="8" width="19.33203125" style="1" customWidth="1"/>
    <col min="9" max="9" width="20.1640625" style="1" customWidth="1"/>
    <col min="10" max="10" width="15.5" style="1" customWidth="1"/>
    <col min="11" max="11" width="20.1640625" style="1" customWidth="1"/>
    <col min="12" max="12" width="17" style="1" customWidth="1"/>
    <col min="13" max="13" width="17.6640625" style="1" customWidth="1"/>
    <col min="14" max="16384" width="9.1640625" style="1"/>
  </cols>
  <sheetData>
    <row r="1" spans="1:13" ht="22.5" customHeight="1" thickBot="1">
      <c r="A1" s="222" t="s">
        <v>67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4"/>
    </row>
    <row r="2" spans="1:13" ht="17" thickBot="1">
      <c r="A2" s="93"/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</row>
    <row r="3" spans="1:13" ht="16">
      <c r="A3" s="94" t="s">
        <v>26</v>
      </c>
      <c r="B3" s="95"/>
      <c r="C3" s="93"/>
      <c r="D3" s="174" t="s">
        <v>38</v>
      </c>
      <c r="E3" s="175" t="s">
        <v>84</v>
      </c>
      <c r="F3" s="93"/>
      <c r="G3" s="93"/>
      <c r="H3" s="93"/>
      <c r="I3" s="93"/>
      <c r="J3" s="93"/>
      <c r="K3" s="93"/>
      <c r="L3" s="93"/>
      <c r="M3"/>
    </row>
    <row r="4" spans="1:13" ht="16">
      <c r="A4" s="96" t="s">
        <v>0</v>
      </c>
      <c r="B4" s="97">
        <f>Inputs!G14</f>
        <v>50000</v>
      </c>
      <c r="C4" s="93"/>
      <c r="D4" s="154">
        <v>0.8</v>
      </c>
      <c r="E4" s="172">
        <v>1.282</v>
      </c>
      <c r="F4" s="93"/>
      <c r="G4" s="93"/>
      <c r="H4" s="93"/>
      <c r="I4" s="93"/>
      <c r="J4" s="93"/>
      <c r="K4" s="93"/>
      <c r="L4" s="93"/>
      <c r="M4"/>
    </row>
    <row r="5" spans="1:13" ht="17" thickBot="1">
      <c r="A5" s="98" t="s">
        <v>1</v>
      </c>
      <c r="B5" s="99">
        <f>Inputs!G16</f>
        <v>12000</v>
      </c>
      <c r="C5" s="93"/>
      <c r="D5" s="154">
        <v>0.85</v>
      </c>
      <c r="E5" s="172">
        <v>1.44</v>
      </c>
      <c r="F5" s="93"/>
      <c r="G5" s="93"/>
      <c r="H5" s="93"/>
      <c r="I5" s="93"/>
      <c r="J5" s="93"/>
      <c r="K5" s="93"/>
      <c r="L5" s="93"/>
      <c r="M5"/>
    </row>
    <row r="6" spans="1:13" ht="17" thickBot="1">
      <c r="A6" s="93"/>
      <c r="B6" s="100"/>
      <c r="C6" s="93"/>
      <c r="D6" s="154">
        <v>0.9</v>
      </c>
      <c r="E6" s="172">
        <v>1.645</v>
      </c>
      <c r="F6" s="93"/>
      <c r="G6" s="93"/>
      <c r="H6" s="93"/>
      <c r="I6" s="93"/>
      <c r="J6" s="93"/>
      <c r="K6" s="93"/>
      <c r="L6" s="93"/>
      <c r="M6"/>
    </row>
    <row r="7" spans="1:13" ht="16">
      <c r="A7" s="101" t="s">
        <v>4</v>
      </c>
      <c r="B7" s="102">
        <f>Inputs!G26</f>
        <v>13</v>
      </c>
      <c r="C7" s="93"/>
      <c r="D7" s="154">
        <v>0.95</v>
      </c>
      <c r="E7" s="172">
        <v>1.96</v>
      </c>
      <c r="F7" s="93"/>
      <c r="G7" s="93"/>
      <c r="H7" s="93"/>
      <c r="I7" s="93"/>
      <c r="J7" s="93"/>
      <c r="K7" s="93"/>
      <c r="L7" s="93"/>
      <c r="M7"/>
    </row>
    <row r="8" spans="1:13" ht="16">
      <c r="A8" s="103" t="s">
        <v>5</v>
      </c>
      <c r="B8" s="104">
        <f>Inputs!G28</f>
        <v>0.3</v>
      </c>
      <c r="C8" s="93"/>
      <c r="D8" s="154">
        <v>0.99</v>
      </c>
      <c r="E8" s="172">
        <v>2.5760000000000001</v>
      </c>
      <c r="F8" s="93"/>
      <c r="G8" s="93"/>
      <c r="H8" s="93"/>
      <c r="I8" s="93"/>
      <c r="J8" s="93"/>
      <c r="K8" s="93"/>
      <c r="L8" s="93"/>
      <c r="M8"/>
    </row>
    <row r="9" spans="1:13" ht="16">
      <c r="A9" s="103" t="s">
        <v>2</v>
      </c>
      <c r="B9" s="104">
        <f>Inputs!G34</f>
        <v>3.7</v>
      </c>
      <c r="C9" s="93"/>
      <c r="D9" s="154">
        <v>0.995</v>
      </c>
      <c r="E9" s="172">
        <v>2.8069999999999999</v>
      </c>
      <c r="F9" s="105"/>
      <c r="G9" s="105"/>
      <c r="H9" s="93"/>
      <c r="I9" s="93"/>
      <c r="J9" s="93"/>
      <c r="K9" s="93"/>
      <c r="L9" s="93"/>
      <c r="M9"/>
    </row>
    <row r="10" spans="1:13" ht="17" thickBot="1">
      <c r="A10" s="103" t="s">
        <v>3</v>
      </c>
      <c r="B10" s="104">
        <f>Inputs!G30</f>
        <v>0.2</v>
      </c>
      <c r="C10" s="93"/>
      <c r="D10" s="168">
        <v>0.999</v>
      </c>
      <c r="E10" s="173">
        <v>3.2909999999999999</v>
      </c>
      <c r="F10" s="105"/>
      <c r="G10" s="105"/>
      <c r="H10" s="93"/>
      <c r="I10" s="93"/>
      <c r="J10" s="93"/>
      <c r="K10" s="93"/>
      <c r="L10" s="93"/>
      <c r="M10"/>
    </row>
    <row r="11" spans="1:13" ht="17" thickBot="1">
      <c r="A11" s="106" t="s">
        <v>28</v>
      </c>
      <c r="B11" s="107">
        <f>Inputs!G38</f>
        <v>0.08</v>
      </c>
      <c r="C11" s="93"/>
      <c r="D11" s="9"/>
      <c r="E11" s="9"/>
      <c r="F11" s="105"/>
      <c r="G11" s="105"/>
      <c r="H11" s="93"/>
      <c r="I11" s="93"/>
      <c r="J11" s="93"/>
      <c r="K11" s="93"/>
      <c r="L11" s="93"/>
      <c r="M11"/>
    </row>
    <row r="12" spans="1:13" ht="17" thickBot="1">
      <c r="A12" s="93"/>
      <c r="B12" s="100"/>
      <c r="C12" s="108"/>
      <c r="D12" s="9"/>
      <c r="E12" s="9"/>
      <c r="F12" s="105"/>
      <c r="G12" s="105"/>
      <c r="H12" s="93"/>
      <c r="I12" s="93"/>
      <c r="J12" s="93"/>
      <c r="K12" s="93"/>
      <c r="L12" s="93"/>
      <c r="M12"/>
    </row>
    <row r="13" spans="1:13" ht="17" thickBot="1">
      <c r="A13" s="109" t="s">
        <v>6</v>
      </c>
      <c r="B13" s="110">
        <v>43000</v>
      </c>
      <c r="C13" s="105"/>
      <c r="D13" s="9"/>
      <c r="E13" s="9"/>
      <c r="F13" s="105"/>
      <c r="G13" s="105"/>
      <c r="H13" s="93"/>
      <c r="I13" s="93"/>
      <c r="J13" s="93"/>
      <c r="K13" s="93"/>
      <c r="L13" s="93"/>
      <c r="M13"/>
    </row>
    <row r="14" spans="1:13" customFormat="1" ht="16">
      <c r="A14" s="93"/>
      <c r="B14" s="93"/>
      <c r="C14" s="105"/>
      <c r="D14" s="9"/>
      <c r="E14" s="9"/>
      <c r="F14" s="105"/>
      <c r="G14" s="105"/>
      <c r="H14" s="93"/>
      <c r="I14" s="93"/>
      <c r="J14" s="93"/>
      <c r="K14" s="93"/>
      <c r="L14" s="93"/>
    </row>
    <row r="15" spans="1:13" ht="17" thickBot="1">
      <c r="A15" s="93"/>
      <c r="B15" s="93"/>
      <c r="C15" s="93"/>
      <c r="D15" s="9"/>
      <c r="E15" s="9"/>
      <c r="F15" s="93"/>
      <c r="G15" s="93"/>
      <c r="H15" s="93"/>
      <c r="I15" s="93"/>
      <c r="J15" s="93"/>
      <c r="K15" s="93"/>
      <c r="L15" s="93"/>
      <c r="M15"/>
    </row>
    <row r="16" spans="1:13" ht="16">
      <c r="A16" s="218" t="s">
        <v>39</v>
      </c>
      <c r="B16" s="219"/>
      <c r="C16" s="219"/>
      <c r="D16" s="219"/>
      <c r="E16" s="220"/>
      <c r="F16" s="219"/>
      <c r="G16" s="221"/>
      <c r="H16" s="93"/>
      <c r="I16" s="93"/>
      <c r="J16" s="93"/>
      <c r="K16" s="93"/>
      <c r="L16" s="93"/>
      <c r="M16"/>
    </row>
    <row r="17" spans="1:13" ht="16">
      <c r="A17" s="112">
        <v>1</v>
      </c>
      <c r="B17" s="113">
        <v>2</v>
      </c>
      <c r="C17" s="113">
        <v>3</v>
      </c>
      <c r="D17" s="114">
        <v>4</v>
      </c>
      <c r="E17" s="115">
        <v>5</v>
      </c>
      <c r="F17" s="113">
        <v>6</v>
      </c>
      <c r="G17" s="116">
        <v>7</v>
      </c>
      <c r="H17" s="93"/>
      <c r="I17" s="93"/>
      <c r="J17" s="93"/>
      <c r="K17" s="93"/>
      <c r="L17" s="93"/>
      <c r="M17"/>
    </row>
    <row r="18" spans="1:13" ht="17" thickBot="1">
      <c r="A18" s="117">
        <v>30000</v>
      </c>
      <c r="B18" s="118">
        <v>35000</v>
      </c>
      <c r="C18" s="118">
        <v>40000</v>
      </c>
      <c r="D18" s="119">
        <v>50000</v>
      </c>
      <c r="E18" s="120">
        <v>50000</v>
      </c>
      <c r="F18" s="118">
        <v>55000</v>
      </c>
      <c r="G18" s="121">
        <v>60000</v>
      </c>
      <c r="H18" s="93"/>
      <c r="I18" s="93"/>
      <c r="J18" s="93"/>
      <c r="K18" s="93"/>
      <c r="L18" s="93"/>
      <c r="M18"/>
    </row>
    <row r="19" spans="1:13" ht="17" thickBot="1">
      <c r="A19" s="93"/>
      <c r="B19" s="93"/>
      <c r="C19" s="93"/>
      <c r="D19" s="93"/>
      <c r="E19" s="111"/>
      <c r="F19" s="93"/>
      <c r="G19" s="93"/>
      <c r="H19" s="93"/>
      <c r="I19" s="93"/>
      <c r="J19" s="93"/>
      <c r="K19" s="93"/>
      <c r="L19" s="93"/>
      <c r="M19"/>
    </row>
    <row r="20" spans="1:13" ht="17" thickBot="1">
      <c r="A20" s="214" t="s">
        <v>8</v>
      </c>
      <c r="B20" s="215"/>
      <c r="C20" s="215"/>
      <c r="D20" s="215"/>
      <c r="E20" s="216"/>
      <c r="F20" s="215"/>
      <c r="G20" s="217"/>
      <c r="H20" s="93"/>
      <c r="I20" s="93"/>
      <c r="J20" s="93"/>
      <c r="K20" s="93"/>
      <c r="L20" s="93"/>
      <c r="M20"/>
    </row>
    <row r="21" spans="1:13" ht="16">
      <c r="A21" s="122"/>
      <c r="B21" s="123" t="s">
        <v>10</v>
      </c>
      <c r="C21" s="123" t="s">
        <v>9</v>
      </c>
      <c r="D21" s="124" t="s">
        <v>11</v>
      </c>
      <c r="E21" s="125" t="s">
        <v>12</v>
      </c>
      <c r="F21" s="123" t="s">
        <v>13</v>
      </c>
      <c r="G21" s="126" t="s">
        <v>24</v>
      </c>
      <c r="H21" s="93"/>
      <c r="I21" s="93"/>
      <c r="J21" s="93"/>
      <c r="K21" s="93"/>
      <c r="L21" s="93"/>
      <c r="M21"/>
    </row>
    <row r="22" spans="1:13" ht="16">
      <c r="A22" s="112" t="s">
        <v>14</v>
      </c>
      <c r="B22" s="127">
        <f>B7*B13</f>
        <v>559000</v>
      </c>
      <c r="C22" s="128">
        <f ca="1">_xlfn.NORM.INV(RAND(),$B$4,$B$5)</f>
        <v>52746.703419855643</v>
      </c>
      <c r="D22" s="129">
        <f>$B$8*$B$13</f>
        <v>12900</v>
      </c>
      <c r="E22" s="130">
        <f ca="1">MIN(B13,C22)*$B$10</f>
        <v>8600</v>
      </c>
      <c r="F22" s="131">
        <f ca="1">MIN($B$13,C22)*$B$9</f>
        <v>159100</v>
      </c>
      <c r="G22" s="132">
        <f ca="1">F22-SUM(D22:E22)</f>
        <v>137600</v>
      </c>
      <c r="H22" s="93"/>
      <c r="I22" s="93"/>
      <c r="J22" s="93"/>
      <c r="K22" s="93"/>
      <c r="L22" s="93"/>
      <c r="M22"/>
    </row>
    <row r="23" spans="1:13" ht="16">
      <c r="A23" s="112" t="s">
        <v>15</v>
      </c>
      <c r="B23" s="93"/>
      <c r="C23" s="128">
        <f t="shared" ref="C23:C31" ca="1" si="0">_xlfn.NORM.INV(RAND(),$B$4,$B$5)</f>
        <v>36079.492744232666</v>
      </c>
      <c r="D23" s="129">
        <f t="shared" ref="D23:D31" si="1">$B$8*$B$13</f>
        <v>12900</v>
      </c>
      <c r="E23" s="130">
        <f ca="1">MIN(B14,C23)*$B$10</f>
        <v>7215.8985488465332</v>
      </c>
      <c r="F23" s="131">
        <f ca="1">MIN($B$13,C23)*$B$9</f>
        <v>133494.12315366088</v>
      </c>
      <c r="G23" s="132">
        <f ca="1">F23-SUM(D23:E23)</f>
        <v>113378.22460481434</v>
      </c>
      <c r="H23" s="93"/>
      <c r="I23" s="93"/>
      <c r="J23" s="93"/>
      <c r="K23" s="93"/>
      <c r="L23" s="93"/>
      <c r="M23"/>
    </row>
    <row r="24" spans="1:13" ht="16">
      <c r="A24" s="112" t="s">
        <v>16</v>
      </c>
      <c r="B24" s="93"/>
      <c r="C24" s="128">
        <f t="shared" ca="1" si="0"/>
        <v>41581.603300142742</v>
      </c>
      <c r="D24" s="129">
        <f t="shared" si="1"/>
        <v>12900</v>
      </c>
      <c r="E24" s="130">
        <f ca="1">MIN(B15,C24)*$B$10</f>
        <v>8316.3206600285484</v>
      </c>
      <c r="F24" s="131">
        <f ca="1">MIN($B$13,C24)*$B$9</f>
        <v>153851.93221052815</v>
      </c>
      <c r="G24" s="132">
        <f t="shared" ref="G24:G27" ca="1" si="2">F24-SUM(D24:E24)</f>
        <v>132635.6115504996</v>
      </c>
      <c r="H24" s="93"/>
      <c r="I24" s="93"/>
      <c r="J24" s="93"/>
      <c r="K24" s="93"/>
      <c r="L24" s="93"/>
      <c r="M24"/>
    </row>
    <row r="25" spans="1:13" ht="16">
      <c r="A25" s="112" t="s">
        <v>17</v>
      </c>
      <c r="B25" s="93"/>
      <c r="C25" s="128">
        <f t="shared" ca="1" si="0"/>
        <v>56457.346076704707</v>
      </c>
      <c r="D25" s="129">
        <f t="shared" si="1"/>
        <v>12900</v>
      </c>
      <c r="E25" s="130">
        <f ca="1">MIN(B18,C25)*$B$10</f>
        <v>7000</v>
      </c>
      <c r="F25" s="131">
        <f ca="1">MIN($B$13,C25)*$B$9</f>
        <v>159100</v>
      </c>
      <c r="G25" s="132">
        <f t="shared" ca="1" si="2"/>
        <v>139200</v>
      </c>
      <c r="H25" s="93"/>
      <c r="I25" s="93"/>
      <c r="J25" s="93"/>
      <c r="K25" s="93"/>
      <c r="L25" s="93"/>
      <c r="M25"/>
    </row>
    <row r="26" spans="1:13" ht="16">
      <c r="A26" s="112" t="s">
        <v>18</v>
      </c>
      <c r="B26" s="93"/>
      <c r="C26" s="128">
        <f t="shared" ca="1" si="0"/>
        <v>62919.711314658627</v>
      </c>
      <c r="D26" s="129">
        <f t="shared" si="1"/>
        <v>12900</v>
      </c>
      <c r="E26" s="130">
        <f ca="1">MIN(B19,C26)*$B$10</f>
        <v>12583.942262931727</v>
      </c>
      <c r="F26" s="131">
        <f ca="1">MIN($B$13,C26)*$B$9</f>
        <v>159100</v>
      </c>
      <c r="G26" s="132">
        <f t="shared" ca="1" si="2"/>
        <v>133616.05773706827</v>
      </c>
      <c r="H26" s="93"/>
      <c r="I26" s="93"/>
      <c r="J26" s="93"/>
      <c r="K26" s="93"/>
      <c r="L26" s="93"/>
      <c r="M26"/>
    </row>
    <row r="27" spans="1:13" ht="16">
      <c r="A27" s="112" t="s">
        <v>19</v>
      </c>
      <c r="B27" s="93"/>
      <c r="C27" s="128">
        <f t="shared" ca="1" si="0"/>
        <v>34046.770096375338</v>
      </c>
      <c r="D27" s="129">
        <f t="shared" si="1"/>
        <v>12900</v>
      </c>
      <c r="E27" s="133">
        <f t="shared" ref="E27:E31" ca="1" si="3">MIN(B21,C27)*$B$10</f>
        <v>6809.3540192750679</v>
      </c>
      <c r="F27" s="134">
        <f ca="1">MIN($B$13,C27)*($B$9*0.9)</f>
        <v>113375.74442092987</v>
      </c>
      <c r="G27" s="135">
        <f t="shared" ca="1" si="2"/>
        <v>93666.390401654804</v>
      </c>
      <c r="H27" s="93"/>
      <c r="I27" s="93"/>
      <c r="J27" s="93"/>
      <c r="K27" s="93"/>
      <c r="L27" s="93"/>
      <c r="M27"/>
    </row>
    <row r="28" spans="1:13" ht="16">
      <c r="A28" s="112" t="s">
        <v>20</v>
      </c>
      <c r="B28" s="93"/>
      <c r="C28" s="128">
        <f t="shared" ca="1" si="0"/>
        <v>65080.402965760673</v>
      </c>
      <c r="D28" s="131">
        <f t="shared" si="1"/>
        <v>12900</v>
      </c>
      <c r="E28" s="136">
        <f ca="1">MIN(B22,C28)*$B$10</f>
        <v>13016.080593152135</v>
      </c>
      <c r="F28" s="136">
        <f ca="1">MIN(B22,C28)*($B$9*0.9^2)</f>
        <v>195045.96768838476</v>
      </c>
      <c r="G28" s="137">
        <f ca="1">F28-SUM(D28:E28)</f>
        <v>169129.88709523261</v>
      </c>
      <c r="H28" s="93"/>
      <c r="I28" s="93"/>
      <c r="J28" s="93"/>
      <c r="K28" s="93"/>
      <c r="L28" s="93"/>
      <c r="M28"/>
    </row>
    <row r="29" spans="1:13" ht="16">
      <c r="A29" s="112" t="s">
        <v>21</v>
      </c>
      <c r="B29" s="93"/>
      <c r="C29" s="128">
        <f t="shared" ca="1" si="0"/>
        <v>54850.762763897488</v>
      </c>
      <c r="D29" s="131">
        <f t="shared" si="1"/>
        <v>12900</v>
      </c>
      <c r="E29" s="131">
        <f t="shared" ca="1" si="3"/>
        <v>10970.152552779498</v>
      </c>
      <c r="F29" s="131">
        <f ca="1">MIN(B13,C29)*($B$9*0.9^3)</f>
        <v>115983.90000000001</v>
      </c>
      <c r="G29" s="132">
        <f ca="1">F29-SUM(D29:E29)</f>
        <v>92113.747447220507</v>
      </c>
      <c r="H29" s="93"/>
      <c r="I29" s="93"/>
      <c r="J29" s="93"/>
      <c r="K29" s="93"/>
      <c r="L29" s="93"/>
      <c r="M29"/>
    </row>
    <row r="30" spans="1:13" ht="16">
      <c r="A30" s="112" t="s">
        <v>22</v>
      </c>
      <c r="B30" s="93"/>
      <c r="C30" s="128">
        <f t="shared" ca="1" si="0"/>
        <v>29941.38012890951</v>
      </c>
      <c r="D30" s="131">
        <f t="shared" si="1"/>
        <v>12900</v>
      </c>
      <c r="E30" s="131">
        <f t="shared" ca="1" si="3"/>
        <v>5988.2760257819027</v>
      </c>
      <c r="F30" s="131">
        <f ca="1">MIN(B13,C30)*($B$9*0.9^4)</f>
        <v>72684.796159536883</v>
      </c>
      <c r="G30" s="132">
        <f ca="1">F30-SUM(D30:E30)</f>
        <v>53796.520133754981</v>
      </c>
      <c r="H30" s="93"/>
      <c r="I30" s="93"/>
      <c r="J30" s="93"/>
      <c r="K30" s="93"/>
      <c r="L30" s="93"/>
      <c r="M30"/>
    </row>
    <row r="31" spans="1:13" ht="17" thickBot="1">
      <c r="A31" s="112" t="s">
        <v>23</v>
      </c>
      <c r="B31" s="93"/>
      <c r="C31" s="128">
        <f t="shared" ca="1" si="0"/>
        <v>28679.22824800753</v>
      </c>
      <c r="D31" s="131">
        <f t="shared" si="1"/>
        <v>12900</v>
      </c>
      <c r="E31" s="131">
        <f t="shared" ca="1" si="3"/>
        <v>5735.845649601506</v>
      </c>
      <c r="F31" s="131">
        <f ca="1">MIN(B13,C31)*($B$9*0.9^5)</f>
        <v>62658.750706214094</v>
      </c>
      <c r="G31" s="138">
        <f ca="1">F31-SUM(D31:E31)</f>
        <v>44022.905056612588</v>
      </c>
      <c r="H31" s="93"/>
      <c r="I31" s="93"/>
      <c r="J31" s="93"/>
      <c r="K31" s="93"/>
      <c r="L31" s="93"/>
      <c r="M31"/>
    </row>
    <row r="32" spans="1:13" ht="17" thickBot="1">
      <c r="A32" s="139" t="s">
        <v>25</v>
      </c>
      <c r="B32" s="140"/>
      <c r="C32" s="140"/>
      <c r="D32" s="140"/>
      <c r="E32" s="140"/>
      <c r="F32" s="141" t="s">
        <v>27</v>
      </c>
      <c r="G32" s="142">
        <f ca="1">NPV(B11,G22:G31)-B22</f>
        <v>218934.7318775428</v>
      </c>
      <c r="H32" s="93"/>
      <c r="I32" s="93"/>
      <c r="J32" s="93"/>
      <c r="K32" s="93"/>
      <c r="L32" s="93"/>
      <c r="M32"/>
    </row>
    <row r="33" spans="1:14" ht="17" thickBot="1">
      <c r="A33" s="143"/>
      <c r="B33" s="93"/>
      <c r="C33" s="93"/>
      <c r="D33" s="93"/>
      <c r="E33" s="93"/>
      <c r="F33" s="93"/>
      <c r="G33" s="93"/>
      <c r="H33" s="93"/>
      <c r="I33" s="93"/>
      <c r="J33" s="93"/>
      <c r="K33" s="93"/>
      <c r="L33" s="93"/>
    </row>
    <row r="34" spans="1:14" ht="16">
      <c r="A34" s="144" t="s">
        <v>65</v>
      </c>
      <c r="B34" s="145">
        <f>Inputs!G42</f>
        <v>10</v>
      </c>
      <c r="C34" s="93"/>
      <c r="D34" s="105"/>
      <c r="E34" s="105"/>
      <c r="F34" s="93"/>
      <c r="G34" s="93"/>
      <c r="H34" s="93"/>
      <c r="I34" s="93"/>
      <c r="J34" s="93"/>
      <c r="K34" s="93"/>
      <c r="L34" s="93"/>
    </row>
    <row r="35" spans="1:14" ht="17" thickBot="1">
      <c r="A35" s="146" t="s">
        <v>66</v>
      </c>
      <c r="B35" s="147">
        <f>Inputs!G47</f>
        <v>1.645</v>
      </c>
      <c r="C35" s="93"/>
      <c r="D35" s="105"/>
      <c r="E35" s="105"/>
      <c r="F35" s="93"/>
      <c r="G35" s="93"/>
      <c r="H35" s="93"/>
      <c r="I35" s="93"/>
      <c r="J35" s="93"/>
      <c r="K35" s="93"/>
      <c r="L35" s="93"/>
    </row>
    <row r="36" spans="1:14" ht="17" thickBot="1">
      <c r="A36" s="93"/>
      <c r="B36" s="93"/>
      <c r="C36" s="93"/>
      <c r="D36" s="105"/>
      <c r="E36" s="105"/>
      <c r="F36" s="93"/>
      <c r="G36" s="93"/>
      <c r="H36" s="93"/>
      <c r="I36" s="93"/>
      <c r="J36" s="93"/>
      <c r="K36" s="93"/>
      <c r="L36" s="93"/>
    </row>
    <row r="37" spans="1:14" ht="16">
      <c r="A37" s="94" t="s">
        <v>45</v>
      </c>
      <c r="B37" s="148">
        <f>Inputs!G22</f>
        <v>25000</v>
      </c>
      <c r="C37" s="93"/>
      <c r="D37" s="93"/>
      <c r="E37" s="93"/>
      <c r="F37" s="93"/>
      <c r="G37" s="93"/>
      <c r="H37" s="93"/>
      <c r="I37" s="93"/>
      <c r="J37" s="93"/>
      <c r="K37" s="93"/>
      <c r="L37" s="93"/>
    </row>
    <row r="38" spans="1:14" ht="16">
      <c r="A38" s="96" t="s">
        <v>42</v>
      </c>
      <c r="B38" s="97">
        <f>Inputs!I22</f>
        <v>43000</v>
      </c>
      <c r="C38" s="93"/>
      <c r="D38" s="93"/>
      <c r="E38" s="93"/>
      <c r="F38" s="93"/>
      <c r="G38" s="93"/>
      <c r="H38" s="93"/>
      <c r="I38" s="93"/>
      <c r="J38" s="93"/>
      <c r="K38" s="93"/>
      <c r="L38" s="93"/>
    </row>
    <row r="39" spans="1:14" ht="17" thickBot="1">
      <c r="A39" s="98" t="s">
        <v>43</v>
      </c>
      <c r="B39" s="149">
        <f>(B38-B37)/6</f>
        <v>3000</v>
      </c>
      <c r="C39" s="93"/>
      <c r="D39" s="93"/>
      <c r="E39" s="93"/>
      <c r="F39" s="93"/>
      <c r="G39" s="93"/>
      <c r="H39" s="93"/>
      <c r="I39" s="93"/>
      <c r="J39" s="93"/>
      <c r="K39" s="93"/>
      <c r="L39" s="93"/>
    </row>
    <row r="40" spans="1:14" ht="16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</row>
    <row r="41" spans="1:14" ht="17" thickBot="1">
      <c r="A41" s="93"/>
      <c r="B41" s="93"/>
      <c r="C41" s="93"/>
      <c r="D41" s="93"/>
      <c r="E41" s="93"/>
      <c r="F41" s="93"/>
      <c r="G41" s="93"/>
      <c r="H41" s="93"/>
      <c r="I41" s="93"/>
      <c r="J41" s="93"/>
      <c r="K41" s="93"/>
      <c r="L41" s="93"/>
    </row>
    <row r="42" spans="1:14" ht="16">
      <c r="A42" s="150" t="s">
        <v>35</v>
      </c>
      <c r="B42" s="151" t="s">
        <v>44</v>
      </c>
      <c r="C42" s="152"/>
      <c r="D42" s="150" t="s">
        <v>63</v>
      </c>
      <c r="E42" s="153" t="s">
        <v>41</v>
      </c>
      <c r="F42" s="153" t="s">
        <v>0</v>
      </c>
      <c r="G42" s="153" t="s">
        <v>40</v>
      </c>
      <c r="H42" s="153" t="s">
        <v>47</v>
      </c>
      <c r="I42" s="153" t="s">
        <v>46</v>
      </c>
      <c r="J42" s="153" t="s">
        <v>48</v>
      </c>
      <c r="K42" s="153" t="s">
        <v>50</v>
      </c>
      <c r="L42" s="151" t="s">
        <v>49</v>
      </c>
    </row>
    <row r="43" spans="1:14" ht="16">
      <c r="A43" s="154">
        <v>1</v>
      </c>
      <c r="B43" s="155">
        <v>261797.62710000001</v>
      </c>
      <c r="C43" s="152"/>
      <c r="D43" s="112">
        <v>1</v>
      </c>
      <c r="E43" s="156">
        <f>B37</f>
        <v>25000</v>
      </c>
      <c r="F43" s="157">
        <v>157699.25433999998</v>
      </c>
      <c r="G43" s="157">
        <v>138920.96290000001</v>
      </c>
      <c r="H43" s="158">
        <v>185142.68109999999</v>
      </c>
      <c r="I43" s="157">
        <v>13816.733798101099</v>
      </c>
      <c r="J43" s="159">
        <f>$B$35*I43/SQRT($B$34)</f>
        <v>7187.3913490145887</v>
      </c>
      <c r="K43" s="160">
        <f>F43-J43</f>
        <v>150511.86299098539</v>
      </c>
      <c r="L43" s="161">
        <f>F43+J43</f>
        <v>164886.64568901458</v>
      </c>
    </row>
    <row r="44" spans="1:14" ht="16">
      <c r="A44" s="154">
        <v>2</v>
      </c>
      <c r="B44" s="155">
        <v>217963.7579</v>
      </c>
      <c r="C44" s="152"/>
      <c r="D44" s="112">
        <v>2</v>
      </c>
      <c r="E44" s="156">
        <f>E43+$B$39</f>
        <v>28000</v>
      </c>
      <c r="F44" s="157">
        <v>173105.35446</v>
      </c>
      <c r="G44" s="157">
        <v>142531.72390000001</v>
      </c>
      <c r="H44" s="158">
        <v>194448.60740000001</v>
      </c>
      <c r="I44" s="157">
        <v>16843.485337891292</v>
      </c>
      <c r="J44" s="159">
        <f t="shared" ref="J44:J49" si="4">$B$35*I44/SQRT($B$34)</f>
        <v>8761.8913828572076</v>
      </c>
      <c r="K44" s="160">
        <f t="shared" ref="K44:K49" si="5">F44-J44</f>
        <v>164343.46307714281</v>
      </c>
      <c r="L44" s="161">
        <f t="shared" ref="L44:L49" si="6">F44+J44</f>
        <v>181867.2458428572</v>
      </c>
    </row>
    <row r="45" spans="1:14" ht="16">
      <c r="A45" s="154">
        <v>3</v>
      </c>
      <c r="B45" s="155">
        <v>212779.25229999999</v>
      </c>
      <c r="C45" s="152"/>
      <c r="D45" s="112">
        <v>3</v>
      </c>
      <c r="E45" s="156">
        <f t="shared" ref="E45:E49" si="7">E44+$B$39</f>
        <v>31000</v>
      </c>
      <c r="F45" s="157">
        <v>202654.32239000004</v>
      </c>
      <c r="G45" s="157">
        <v>167226.15919999999</v>
      </c>
      <c r="H45" s="158">
        <v>236990.0913</v>
      </c>
      <c r="I45" s="157">
        <v>19787.900396544515</v>
      </c>
      <c r="J45" s="159">
        <f t="shared" si="4"/>
        <v>10293.560417646091</v>
      </c>
      <c r="K45" s="160">
        <f t="shared" si="5"/>
        <v>192360.76197235397</v>
      </c>
      <c r="L45" s="161">
        <f t="shared" si="6"/>
        <v>212947.88280764612</v>
      </c>
      <c r="N45" s="8"/>
    </row>
    <row r="46" spans="1:14" ht="16">
      <c r="A46" s="154">
        <v>4</v>
      </c>
      <c r="B46" s="155">
        <v>224378.16020000001</v>
      </c>
      <c r="C46" s="152"/>
      <c r="D46" s="112">
        <v>4</v>
      </c>
      <c r="E46" s="156">
        <f t="shared" si="7"/>
        <v>34000</v>
      </c>
      <c r="F46" s="157">
        <v>209171.94162</v>
      </c>
      <c r="G46" s="157">
        <v>155895.8756</v>
      </c>
      <c r="H46" s="158">
        <v>260256.32060000001</v>
      </c>
      <c r="I46" s="157">
        <v>36321.122143512541</v>
      </c>
      <c r="J46" s="159">
        <f t="shared" si="4"/>
        <v>18894.054332628326</v>
      </c>
      <c r="K46" s="160">
        <f t="shared" si="5"/>
        <v>190277.88728737168</v>
      </c>
      <c r="L46" s="161">
        <f t="shared" si="6"/>
        <v>228065.99595262832</v>
      </c>
    </row>
    <row r="47" spans="1:14" ht="16">
      <c r="A47" s="154">
        <v>5</v>
      </c>
      <c r="B47" s="155">
        <v>248652.3578</v>
      </c>
      <c r="C47" s="152"/>
      <c r="D47" s="112">
        <v>5</v>
      </c>
      <c r="E47" s="156">
        <f t="shared" si="7"/>
        <v>37000</v>
      </c>
      <c r="F47" s="157">
        <v>202274.25521000003</v>
      </c>
      <c r="G47" s="157">
        <v>161500.10089999999</v>
      </c>
      <c r="H47" s="158">
        <v>242094.3241</v>
      </c>
      <c r="I47" s="157">
        <v>27137.800788734166</v>
      </c>
      <c r="J47" s="159">
        <f t="shared" si="4"/>
        <v>14116.939464161633</v>
      </c>
      <c r="K47" s="160">
        <f t="shared" si="5"/>
        <v>188157.31574583839</v>
      </c>
      <c r="L47" s="161">
        <f t="shared" si="6"/>
        <v>216391.19467416167</v>
      </c>
      <c r="M47" s="8"/>
    </row>
    <row r="48" spans="1:14" ht="16">
      <c r="A48" s="154">
        <v>6</v>
      </c>
      <c r="B48" s="155">
        <v>214383.04620000001</v>
      </c>
      <c r="C48" s="152"/>
      <c r="D48" s="112">
        <v>6</v>
      </c>
      <c r="E48" s="156">
        <f t="shared" si="7"/>
        <v>40000</v>
      </c>
      <c r="F48" s="157">
        <v>216029.69066000002</v>
      </c>
      <c r="G48" s="157">
        <v>167045.58119999999</v>
      </c>
      <c r="H48" s="158">
        <v>249192.6415</v>
      </c>
      <c r="I48" s="157">
        <v>24751.047386085404</v>
      </c>
      <c r="J48" s="159">
        <f t="shared" si="4"/>
        <v>12875.363053332432</v>
      </c>
      <c r="K48" s="160">
        <f t="shared" si="5"/>
        <v>203154.32760666759</v>
      </c>
      <c r="L48" s="161">
        <f t="shared" si="6"/>
        <v>228905.05371333245</v>
      </c>
    </row>
    <row r="49" spans="1:12" ht="17" thickBot="1">
      <c r="A49" s="154">
        <v>7</v>
      </c>
      <c r="B49" s="155">
        <v>138733.7113</v>
      </c>
      <c r="C49" s="152"/>
      <c r="D49" s="139">
        <v>7</v>
      </c>
      <c r="E49" s="162">
        <f t="shared" si="7"/>
        <v>43000</v>
      </c>
      <c r="F49" s="163">
        <v>209807.03695000004</v>
      </c>
      <c r="G49" s="163">
        <v>138733.7113</v>
      </c>
      <c r="H49" s="164">
        <v>261797.62710000001</v>
      </c>
      <c r="I49" s="163">
        <v>35472.475697434609</v>
      </c>
      <c r="J49" s="165">
        <f t="shared" si="4"/>
        <v>18452.592970337999</v>
      </c>
      <c r="K49" s="166">
        <f t="shared" si="5"/>
        <v>191354.44397966203</v>
      </c>
      <c r="L49" s="167">
        <f t="shared" si="6"/>
        <v>228259.62992033805</v>
      </c>
    </row>
    <row r="50" spans="1:12" ht="16">
      <c r="A50" s="154">
        <v>8</v>
      </c>
      <c r="B50" s="155">
        <v>205592.60329999999</v>
      </c>
      <c r="C50" s="93"/>
      <c r="D50" s="93"/>
      <c r="E50" s="93"/>
      <c r="F50" s="93"/>
      <c r="G50" s="93"/>
      <c r="H50" s="93"/>
      <c r="I50" s="93"/>
      <c r="J50" s="93"/>
      <c r="K50" s="93"/>
      <c r="L50" s="93"/>
    </row>
    <row r="51" spans="1:12" ht="16">
      <c r="A51" s="154">
        <v>9</v>
      </c>
      <c r="B51" s="155">
        <v>168388.7648</v>
      </c>
      <c r="C51" s="152"/>
      <c r="D51" s="93"/>
      <c r="E51" s="93"/>
      <c r="F51" s="93"/>
      <c r="G51" s="93"/>
      <c r="H51" s="93"/>
      <c r="I51" s="93"/>
      <c r="J51" s="93"/>
      <c r="K51" s="93"/>
      <c r="L51" s="93"/>
    </row>
    <row r="52" spans="1:12" ht="16">
      <c r="A52" s="154">
        <v>10</v>
      </c>
      <c r="B52" s="155">
        <v>205401.08859999999</v>
      </c>
      <c r="C52" s="152"/>
      <c r="D52" s="93"/>
      <c r="E52" s="93"/>
      <c r="F52" s="93"/>
      <c r="G52" s="93"/>
      <c r="H52" s="93"/>
      <c r="I52" s="93"/>
      <c r="J52" s="93"/>
      <c r="K52" s="93"/>
      <c r="L52" s="93"/>
    </row>
    <row r="53" spans="1:12" ht="16">
      <c r="A53" s="154"/>
      <c r="B53" s="155"/>
      <c r="C53" s="152"/>
      <c r="D53" s="93"/>
      <c r="E53" s="93"/>
      <c r="F53" s="93"/>
      <c r="G53" s="93"/>
      <c r="H53" s="93"/>
      <c r="I53" s="93"/>
      <c r="J53" s="93"/>
      <c r="K53" s="93"/>
      <c r="L53" s="93"/>
    </row>
    <row r="54" spans="1:12" ht="16">
      <c r="A54" s="154"/>
      <c r="B54" s="155"/>
      <c r="C54" s="152"/>
      <c r="D54" s="93"/>
      <c r="E54" s="93"/>
      <c r="F54" s="93"/>
      <c r="G54" s="93"/>
      <c r="H54" s="93"/>
      <c r="I54" s="93"/>
      <c r="J54" s="93"/>
      <c r="K54" s="93"/>
      <c r="L54" s="93"/>
    </row>
    <row r="55" spans="1:12" ht="16">
      <c r="A55" s="154"/>
      <c r="B55" s="155"/>
      <c r="C55" s="152"/>
      <c r="D55" s="93"/>
      <c r="E55" s="93"/>
      <c r="F55" s="93"/>
      <c r="G55" s="93"/>
      <c r="H55" s="93"/>
      <c r="I55" s="93"/>
      <c r="J55" s="93"/>
      <c r="K55" s="93"/>
      <c r="L55" s="93"/>
    </row>
    <row r="56" spans="1:12" ht="16">
      <c r="A56" s="154"/>
      <c r="B56" s="155"/>
      <c r="C56" s="152"/>
      <c r="D56" s="93"/>
      <c r="E56" s="93"/>
      <c r="F56" s="93"/>
      <c r="G56" s="93"/>
      <c r="H56" s="93"/>
      <c r="I56" s="93"/>
      <c r="J56" s="93"/>
      <c r="K56" s="93"/>
      <c r="L56" s="93"/>
    </row>
    <row r="57" spans="1:12" ht="16">
      <c r="A57" s="154"/>
      <c r="B57" s="155"/>
      <c r="C57" s="93"/>
      <c r="D57" s="93"/>
      <c r="E57" s="93"/>
      <c r="F57" s="93"/>
      <c r="G57" s="93"/>
      <c r="H57" s="93"/>
      <c r="I57" s="93"/>
      <c r="J57" s="93"/>
      <c r="K57" s="93"/>
      <c r="L57" s="93"/>
    </row>
    <row r="58" spans="1:12" ht="16">
      <c r="A58" s="154"/>
      <c r="B58" s="155"/>
      <c r="C58" s="93"/>
      <c r="D58" s="93"/>
      <c r="E58" s="93"/>
      <c r="F58" s="93"/>
      <c r="G58" s="93"/>
      <c r="H58" s="93"/>
      <c r="I58" s="93"/>
      <c r="J58" s="93"/>
      <c r="K58" s="93"/>
      <c r="L58" s="93"/>
    </row>
    <row r="59" spans="1:12" ht="16">
      <c r="A59" s="154"/>
      <c r="B59" s="155"/>
      <c r="C59" s="93"/>
      <c r="D59" s="93"/>
      <c r="E59" s="93"/>
      <c r="F59" s="93"/>
      <c r="G59" s="93"/>
      <c r="H59" s="93"/>
      <c r="I59" s="93"/>
      <c r="J59" s="93"/>
      <c r="K59" s="93"/>
      <c r="L59" s="93"/>
    </row>
    <row r="60" spans="1:12" ht="16">
      <c r="A60" s="154"/>
      <c r="B60" s="155"/>
      <c r="C60" s="93"/>
      <c r="D60" s="93"/>
      <c r="E60" s="93"/>
      <c r="F60" s="93"/>
      <c r="G60" s="93"/>
      <c r="H60" s="93"/>
      <c r="I60" s="93"/>
      <c r="J60" s="93"/>
      <c r="K60" s="93"/>
      <c r="L60" s="93"/>
    </row>
    <row r="61" spans="1:12" ht="16">
      <c r="A61" s="154"/>
      <c r="B61" s="155"/>
      <c r="C61" s="93"/>
      <c r="D61" s="93"/>
      <c r="E61" s="93"/>
      <c r="F61" s="93"/>
      <c r="G61" s="93"/>
      <c r="H61" s="93"/>
      <c r="I61" s="93"/>
      <c r="J61" s="93"/>
      <c r="K61" s="93"/>
      <c r="L61" s="93"/>
    </row>
    <row r="62" spans="1:12" ht="16">
      <c r="A62" s="154"/>
      <c r="B62" s="155"/>
      <c r="C62" s="93"/>
      <c r="D62" s="93"/>
      <c r="E62" s="93"/>
      <c r="F62" s="93"/>
      <c r="G62" s="93"/>
      <c r="H62" s="93"/>
      <c r="I62" s="93"/>
      <c r="J62" s="93"/>
      <c r="K62" s="93"/>
      <c r="L62" s="93"/>
    </row>
    <row r="63" spans="1:12" ht="16">
      <c r="A63" s="154"/>
      <c r="B63" s="155"/>
      <c r="C63" s="93"/>
      <c r="D63" s="93"/>
      <c r="E63" s="93"/>
      <c r="F63" s="93"/>
      <c r="G63" s="93"/>
      <c r="H63" s="93"/>
      <c r="I63" s="93"/>
      <c r="J63" s="93"/>
      <c r="K63" s="93"/>
      <c r="L63" s="93"/>
    </row>
    <row r="64" spans="1:12" ht="16">
      <c r="A64" s="154"/>
      <c r="B64" s="155"/>
      <c r="C64" s="93"/>
      <c r="D64" s="93"/>
      <c r="E64" s="93"/>
      <c r="F64" s="93"/>
      <c r="G64" s="93"/>
      <c r="H64" s="93"/>
      <c r="I64" s="93"/>
      <c r="J64" s="93"/>
      <c r="K64" s="93"/>
      <c r="L64" s="93"/>
    </row>
    <row r="65" spans="1:12" ht="16">
      <c r="A65" s="154"/>
      <c r="B65" s="155"/>
      <c r="C65" s="93"/>
      <c r="D65" s="93"/>
      <c r="E65" s="93"/>
      <c r="F65" s="93"/>
      <c r="G65" s="93"/>
      <c r="H65" s="93"/>
      <c r="I65" s="93"/>
      <c r="J65" s="93"/>
      <c r="K65" s="93"/>
      <c r="L65" s="93"/>
    </row>
    <row r="66" spans="1:12" ht="16">
      <c r="A66" s="154"/>
      <c r="B66" s="155"/>
      <c r="C66" s="93"/>
      <c r="D66" s="93"/>
      <c r="E66" s="93"/>
      <c r="F66" s="93"/>
      <c r="G66" s="93"/>
      <c r="H66" s="93"/>
      <c r="I66" s="93"/>
      <c r="J66" s="93"/>
      <c r="K66" s="93"/>
      <c r="L66" s="93"/>
    </row>
    <row r="67" spans="1:12" ht="16">
      <c r="A67" s="154"/>
      <c r="B67" s="155"/>
      <c r="C67" s="93"/>
      <c r="D67" s="93"/>
      <c r="E67" s="93"/>
      <c r="F67" s="93"/>
      <c r="G67" s="93"/>
      <c r="H67" s="93"/>
      <c r="I67" s="93"/>
      <c r="J67" s="93"/>
      <c r="K67" s="93"/>
      <c r="L67" s="93"/>
    </row>
    <row r="68" spans="1:12" ht="16">
      <c r="A68" s="154"/>
      <c r="B68" s="155"/>
      <c r="C68" s="93"/>
      <c r="D68" s="93"/>
      <c r="E68" s="93"/>
      <c r="F68" s="93"/>
      <c r="G68" s="93"/>
      <c r="H68" s="93"/>
      <c r="I68" s="93"/>
      <c r="J68" s="93"/>
      <c r="K68" s="93"/>
      <c r="L68" s="93"/>
    </row>
    <row r="69" spans="1:12" ht="16">
      <c r="A69" s="154"/>
      <c r="B69" s="155"/>
      <c r="C69" s="93"/>
      <c r="D69" s="93"/>
      <c r="E69" s="93"/>
      <c r="F69" s="93"/>
      <c r="G69" s="93"/>
      <c r="H69" s="93"/>
      <c r="I69" s="93"/>
      <c r="J69" s="93"/>
      <c r="K69" s="93"/>
      <c r="L69" s="93"/>
    </row>
    <row r="70" spans="1:12" ht="16">
      <c r="A70" s="154"/>
      <c r="B70" s="155"/>
      <c r="C70" s="93"/>
      <c r="D70" s="93"/>
      <c r="E70" s="93"/>
      <c r="F70" s="93"/>
      <c r="G70" s="93"/>
      <c r="H70" s="93"/>
      <c r="I70" s="93"/>
      <c r="J70" s="93"/>
      <c r="K70" s="93"/>
      <c r="L70" s="93"/>
    </row>
    <row r="71" spans="1:12" ht="16">
      <c r="A71" s="154"/>
      <c r="B71" s="155"/>
      <c r="C71" s="93"/>
      <c r="D71" s="93"/>
      <c r="E71" s="93"/>
      <c r="F71" s="93"/>
      <c r="G71" s="93"/>
      <c r="H71" s="93"/>
      <c r="I71" s="93"/>
      <c r="J71" s="93"/>
      <c r="K71" s="93"/>
      <c r="L71" s="93"/>
    </row>
    <row r="72" spans="1:12" ht="16">
      <c r="A72" s="154"/>
      <c r="B72" s="155"/>
      <c r="C72" s="93"/>
      <c r="D72" s="93"/>
      <c r="E72" s="93"/>
      <c r="F72" s="93"/>
      <c r="G72" s="93"/>
      <c r="H72" s="93"/>
      <c r="I72" s="93"/>
      <c r="J72" s="93"/>
      <c r="K72" s="93"/>
      <c r="L72" s="93"/>
    </row>
    <row r="73" spans="1:12" ht="16">
      <c r="A73" s="154"/>
      <c r="B73" s="155"/>
      <c r="C73" s="93"/>
      <c r="D73" s="93"/>
      <c r="E73" s="93"/>
      <c r="F73" s="93"/>
      <c r="G73" s="93"/>
      <c r="H73" s="93"/>
      <c r="I73" s="93"/>
      <c r="J73" s="93"/>
      <c r="K73" s="93"/>
      <c r="L73" s="93"/>
    </row>
    <row r="74" spans="1:12" ht="16">
      <c r="A74" s="154"/>
      <c r="B74" s="155"/>
      <c r="C74" s="93"/>
      <c r="D74" s="93"/>
      <c r="E74" s="93"/>
      <c r="F74" s="93"/>
      <c r="G74" s="93"/>
      <c r="H74" s="93"/>
      <c r="I74" s="93"/>
      <c r="J74" s="93"/>
      <c r="K74" s="93"/>
      <c r="L74" s="93"/>
    </row>
    <row r="75" spans="1:12" ht="16">
      <c r="A75" s="154"/>
      <c r="B75" s="155"/>
      <c r="C75" s="93"/>
      <c r="D75" s="93"/>
      <c r="E75" s="93"/>
      <c r="F75" s="93"/>
      <c r="G75" s="93"/>
      <c r="H75" s="93"/>
      <c r="I75" s="93"/>
      <c r="J75" s="93"/>
      <c r="K75" s="93"/>
      <c r="L75" s="93"/>
    </row>
    <row r="76" spans="1:12" ht="16">
      <c r="A76" s="154"/>
      <c r="B76" s="155"/>
      <c r="C76" s="93"/>
      <c r="D76" s="93"/>
      <c r="E76" s="93"/>
      <c r="F76" s="93"/>
      <c r="G76" s="93"/>
      <c r="H76" s="93"/>
      <c r="I76" s="93"/>
      <c r="J76" s="93"/>
      <c r="K76" s="93"/>
      <c r="L76" s="93"/>
    </row>
    <row r="77" spans="1:12" ht="16">
      <c r="A77" s="154"/>
      <c r="B77" s="155"/>
      <c r="C77" s="93"/>
      <c r="D77" s="93"/>
      <c r="E77" s="93"/>
      <c r="F77" s="93"/>
      <c r="G77" s="93"/>
      <c r="H77" s="93"/>
      <c r="I77" s="93"/>
      <c r="J77" s="93"/>
      <c r="K77" s="93"/>
      <c r="L77" s="93"/>
    </row>
    <row r="78" spans="1:12" ht="16">
      <c r="A78" s="154"/>
      <c r="B78" s="155"/>
      <c r="C78" s="93"/>
      <c r="D78" s="93"/>
      <c r="E78" s="93"/>
      <c r="F78" s="93"/>
      <c r="G78" s="93"/>
      <c r="H78" s="93"/>
      <c r="I78" s="93"/>
      <c r="J78" s="93"/>
      <c r="K78" s="93"/>
      <c r="L78" s="93"/>
    </row>
    <row r="79" spans="1:12" ht="16">
      <c r="A79" s="154"/>
      <c r="B79" s="155"/>
      <c r="C79" s="93"/>
      <c r="D79" s="93"/>
      <c r="E79" s="93"/>
      <c r="F79" s="93"/>
      <c r="G79" s="93"/>
      <c r="H79" s="93"/>
      <c r="I79" s="93"/>
      <c r="J79" s="93"/>
      <c r="K79" s="93"/>
      <c r="L79" s="93"/>
    </row>
    <row r="80" spans="1:12" ht="16">
      <c r="A80" s="154"/>
      <c r="B80" s="155"/>
      <c r="C80" s="93"/>
      <c r="D80" s="93"/>
      <c r="E80" s="93"/>
      <c r="F80" s="93"/>
      <c r="G80" s="93"/>
      <c r="H80" s="93"/>
      <c r="I80" s="93"/>
      <c r="J80" s="93"/>
      <c r="K80" s="93"/>
      <c r="L80" s="93"/>
    </row>
    <row r="81" spans="1:12" ht="16">
      <c r="A81" s="154"/>
      <c r="B81" s="155"/>
      <c r="C81" s="93"/>
      <c r="D81" s="93"/>
      <c r="E81" s="93"/>
      <c r="F81" s="93"/>
      <c r="G81" s="93"/>
      <c r="H81" s="93"/>
      <c r="I81" s="93"/>
      <c r="J81" s="93"/>
      <c r="K81" s="93"/>
      <c r="L81" s="93"/>
    </row>
    <row r="82" spans="1:12" ht="16">
      <c r="A82" s="154"/>
      <c r="B82" s="155"/>
      <c r="C82" s="93"/>
      <c r="D82" s="93"/>
      <c r="E82" s="93"/>
      <c r="F82" s="93"/>
      <c r="G82" s="93"/>
      <c r="H82" s="93"/>
      <c r="I82" s="93"/>
      <c r="J82" s="93"/>
      <c r="K82" s="93"/>
      <c r="L82" s="93"/>
    </row>
    <row r="83" spans="1:12" ht="16">
      <c r="A83" s="154"/>
      <c r="B83" s="155"/>
      <c r="C83" s="93"/>
      <c r="D83" s="93"/>
      <c r="E83" s="93"/>
      <c r="F83" s="93"/>
      <c r="G83" s="93"/>
      <c r="H83" s="93"/>
      <c r="I83" s="93"/>
      <c r="J83" s="93"/>
      <c r="K83" s="93"/>
      <c r="L83" s="93"/>
    </row>
    <row r="84" spans="1:12" ht="16">
      <c r="A84" s="154"/>
      <c r="B84" s="155"/>
      <c r="C84" s="93"/>
      <c r="D84" s="93"/>
      <c r="E84" s="93"/>
      <c r="F84" s="93"/>
      <c r="G84" s="93"/>
      <c r="H84" s="93"/>
      <c r="I84" s="93"/>
      <c r="J84" s="93"/>
      <c r="K84" s="93"/>
      <c r="L84" s="93"/>
    </row>
    <row r="85" spans="1:12" ht="16">
      <c r="A85" s="154"/>
      <c r="B85" s="155"/>
      <c r="C85" s="93"/>
      <c r="D85" s="93"/>
      <c r="E85" s="93"/>
      <c r="F85" s="93"/>
      <c r="G85" s="93"/>
      <c r="H85" s="93"/>
      <c r="I85" s="93"/>
      <c r="J85" s="93"/>
      <c r="K85" s="93"/>
      <c r="L85" s="93"/>
    </row>
    <row r="86" spans="1:12" ht="16">
      <c r="A86" s="154"/>
      <c r="B86" s="155"/>
      <c r="C86" s="93"/>
      <c r="D86" s="93"/>
      <c r="E86" s="93"/>
      <c r="F86" s="93"/>
      <c r="G86" s="93"/>
      <c r="H86" s="93"/>
      <c r="I86" s="93"/>
      <c r="J86" s="93"/>
      <c r="K86" s="93"/>
      <c r="L86" s="93"/>
    </row>
    <row r="87" spans="1:12" ht="16">
      <c r="A87" s="154"/>
      <c r="B87" s="155"/>
      <c r="C87" s="93"/>
      <c r="D87" s="93"/>
      <c r="E87" s="93"/>
      <c r="F87" s="93"/>
      <c r="G87" s="93"/>
      <c r="H87" s="93"/>
      <c r="I87" s="93"/>
      <c r="J87" s="93"/>
      <c r="K87" s="93"/>
      <c r="L87" s="93"/>
    </row>
    <row r="88" spans="1:12" ht="16">
      <c r="A88" s="154"/>
      <c r="B88" s="155"/>
      <c r="C88" s="93"/>
      <c r="D88" s="93"/>
      <c r="E88" s="93"/>
      <c r="F88" s="93"/>
      <c r="G88" s="93"/>
      <c r="H88" s="93"/>
      <c r="I88" s="93"/>
      <c r="J88" s="93"/>
      <c r="K88" s="93"/>
      <c r="L88" s="93"/>
    </row>
    <row r="89" spans="1:12" ht="16">
      <c r="A89" s="154"/>
      <c r="B89" s="155"/>
      <c r="C89" s="93"/>
      <c r="D89" s="93"/>
      <c r="E89" s="93"/>
      <c r="F89" s="93"/>
      <c r="G89" s="93"/>
      <c r="H89" s="93"/>
      <c r="I89" s="93"/>
      <c r="J89" s="93"/>
      <c r="K89" s="93"/>
      <c r="L89" s="93"/>
    </row>
    <row r="90" spans="1:12" ht="16">
      <c r="A90" s="154"/>
      <c r="B90" s="155"/>
      <c r="C90" s="93"/>
      <c r="D90" s="93"/>
      <c r="E90" s="93"/>
      <c r="F90" s="93"/>
      <c r="G90" s="93"/>
      <c r="H90" s="93"/>
      <c r="I90" s="93"/>
      <c r="J90" s="93"/>
      <c r="K90" s="93"/>
      <c r="L90" s="93"/>
    </row>
    <row r="91" spans="1:12" ht="16">
      <c r="A91" s="154"/>
      <c r="B91" s="155"/>
      <c r="C91" s="93"/>
      <c r="D91" s="93"/>
      <c r="E91" s="93"/>
      <c r="F91" s="93"/>
      <c r="G91" s="93"/>
      <c r="H91" s="93"/>
      <c r="I91" s="93"/>
      <c r="J91" s="93"/>
      <c r="K91" s="93"/>
      <c r="L91" s="93"/>
    </row>
    <row r="92" spans="1:12" ht="16">
      <c r="A92" s="154"/>
      <c r="B92" s="155"/>
      <c r="C92" s="93"/>
      <c r="D92" s="93"/>
      <c r="E92" s="93"/>
      <c r="F92" s="93"/>
      <c r="G92" s="93"/>
      <c r="H92" s="93"/>
      <c r="I92" s="93"/>
      <c r="J92" s="93"/>
      <c r="K92" s="93"/>
      <c r="L92" s="93"/>
    </row>
    <row r="93" spans="1:12" ht="16">
      <c r="A93" s="154"/>
      <c r="B93" s="155"/>
      <c r="C93" s="93"/>
      <c r="D93" s="93"/>
      <c r="E93" s="93"/>
      <c r="F93" s="93"/>
      <c r="G93" s="93"/>
      <c r="H93" s="93"/>
      <c r="I93" s="93"/>
      <c r="J93" s="93"/>
      <c r="K93" s="93"/>
      <c r="L93" s="93"/>
    </row>
    <row r="94" spans="1:12" ht="16">
      <c r="A94" s="154"/>
      <c r="B94" s="155"/>
      <c r="C94" s="93"/>
      <c r="D94" s="93"/>
      <c r="E94" s="93"/>
      <c r="F94" s="93"/>
      <c r="G94" s="93"/>
      <c r="H94" s="93"/>
      <c r="I94" s="93"/>
      <c r="J94" s="93"/>
      <c r="K94" s="93"/>
      <c r="L94" s="93"/>
    </row>
    <row r="95" spans="1:12" ht="16">
      <c r="A95" s="154"/>
      <c r="B95" s="155"/>
      <c r="C95" s="93"/>
      <c r="D95" s="93"/>
      <c r="E95" s="93"/>
      <c r="F95" s="93"/>
      <c r="G95" s="93"/>
      <c r="H95" s="93"/>
      <c r="I95" s="93"/>
      <c r="J95" s="93"/>
      <c r="K95" s="93"/>
      <c r="L95" s="93"/>
    </row>
    <row r="96" spans="1:12" ht="16">
      <c r="A96" s="154"/>
      <c r="B96" s="155"/>
      <c r="C96" s="93"/>
      <c r="D96" s="93"/>
      <c r="E96" s="93"/>
      <c r="F96" s="93"/>
      <c r="G96" s="93"/>
      <c r="H96" s="93"/>
      <c r="I96" s="93"/>
      <c r="J96" s="93"/>
      <c r="K96" s="93"/>
      <c r="L96" s="93"/>
    </row>
    <row r="97" spans="1:12" ht="16">
      <c r="A97" s="154"/>
      <c r="B97" s="155"/>
      <c r="C97" s="93"/>
      <c r="D97" s="93"/>
      <c r="E97" s="93"/>
      <c r="F97" s="93"/>
      <c r="G97" s="93"/>
      <c r="H97" s="93"/>
      <c r="I97" s="93"/>
      <c r="J97" s="93"/>
      <c r="K97" s="93"/>
      <c r="L97" s="93"/>
    </row>
    <row r="98" spans="1:12" ht="16">
      <c r="A98" s="154"/>
      <c r="B98" s="155"/>
      <c r="C98" s="93"/>
      <c r="D98" s="93"/>
      <c r="E98" s="93"/>
      <c r="F98" s="93"/>
      <c r="G98" s="93"/>
      <c r="H98" s="93"/>
      <c r="I98" s="93"/>
      <c r="J98" s="93"/>
      <c r="K98" s="93"/>
      <c r="L98" s="93"/>
    </row>
    <row r="99" spans="1:12" ht="16">
      <c r="A99" s="154"/>
      <c r="B99" s="155"/>
      <c r="C99" s="93"/>
      <c r="D99" s="93"/>
      <c r="E99" s="93"/>
      <c r="F99" s="93"/>
      <c r="G99" s="93"/>
      <c r="H99" s="93"/>
      <c r="I99" s="93"/>
      <c r="J99" s="93"/>
      <c r="K99" s="93"/>
      <c r="L99" s="93"/>
    </row>
    <row r="100" spans="1:12" ht="16">
      <c r="A100" s="154"/>
      <c r="B100" s="155"/>
      <c r="C100" s="93"/>
      <c r="D100" s="93"/>
      <c r="E100" s="93"/>
      <c r="F100" s="93"/>
      <c r="G100" s="93"/>
      <c r="H100" s="93"/>
      <c r="I100" s="93"/>
      <c r="J100" s="93"/>
      <c r="K100" s="93"/>
      <c r="L100" s="93"/>
    </row>
    <row r="101" spans="1:12" ht="16">
      <c r="A101" s="154"/>
      <c r="B101" s="155"/>
      <c r="C101" s="93"/>
      <c r="D101" s="93"/>
      <c r="E101" s="93"/>
      <c r="F101" s="93"/>
      <c r="G101" s="93"/>
      <c r="H101" s="93"/>
      <c r="I101" s="93"/>
      <c r="J101" s="93"/>
      <c r="K101" s="93"/>
      <c r="L101" s="93"/>
    </row>
    <row r="102" spans="1:12" ht="16">
      <c r="A102" s="154"/>
      <c r="B102" s="155"/>
      <c r="C102" s="93"/>
      <c r="D102" s="93"/>
      <c r="E102" s="93"/>
      <c r="F102" s="93"/>
      <c r="G102" s="93"/>
      <c r="H102" s="93"/>
      <c r="I102" s="93"/>
      <c r="J102" s="93"/>
      <c r="K102" s="93"/>
      <c r="L102" s="93"/>
    </row>
    <row r="103" spans="1:12" ht="16">
      <c r="A103" s="154"/>
      <c r="B103" s="155"/>
      <c r="C103" s="93"/>
      <c r="D103" s="93"/>
      <c r="E103" s="93"/>
      <c r="F103" s="93"/>
      <c r="G103" s="93"/>
      <c r="H103" s="93"/>
      <c r="I103" s="93"/>
      <c r="J103" s="93"/>
      <c r="K103" s="93"/>
      <c r="L103" s="93"/>
    </row>
    <row r="104" spans="1:12" ht="16">
      <c r="A104" s="154"/>
      <c r="B104" s="155"/>
      <c r="C104" s="93"/>
      <c r="D104" s="93"/>
      <c r="E104" s="93"/>
      <c r="F104" s="93"/>
      <c r="G104" s="93"/>
      <c r="H104" s="93"/>
      <c r="I104" s="93"/>
      <c r="J104" s="93"/>
      <c r="K104" s="93"/>
      <c r="L104" s="93"/>
    </row>
    <row r="105" spans="1:12" ht="16">
      <c r="A105" s="154"/>
      <c r="B105" s="155"/>
      <c r="C105" s="93"/>
      <c r="D105" s="93"/>
      <c r="E105" s="93"/>
      <c r="F105" s="93"/>
      <c r="G105" s="93"/>
      <c r="H105" s="93"/>
      <c r="I105" s="93"/>
      <c r="J105" s="93"/>
      <c r="K105" s="93"/>
      <c r="L105" s="93"/>
    </row>
    <row r="106" spans="1:12" ht="16">
      <c r="A106" s="154"/>
      <c r="B106" s="155"/>
      <c r="C106" s="93"/>
      <c r="D106" s="93"/>
      <c r="E106" s="93"/>
      <c r="F106" s="93"/>
      <c r="G106" s="93"/>
      <c r="H106" s="93"/>
      <c r="I106" s="93"/>
      <c r="J106" s="93"/>
      <c r="K106" s="93"/>
      <c r="L106" s="93"/>
    </row>
    <row r="107" spans="1:12" ht="16">
      <c r="A107" s="154"/>
      <c r="B107" s="155"/>
      <c r="C107" s="93"/>
      <c r="D107" s="93"/>
      <c r="E107" s="93"/>
      <c r="F107" s="93"/>
      <c r="G107" s="93"/>
      <c r="H107" s="93"/>
      <c r="I107" s="93"/>
      <c r="J107" s="93"/>
      <c r="K107" s="93"/>
      <c r="L107" s="93"/>
    </row>
    <row r="108" spans="1:12" ht="16">
      <c r="A108" s="154"/>
      <c r="B108" s="155"/>
      <c r="C108" s="93"/>
      <c r="D108" s="93"/>
      <c r="E108" s="93"/>
      <c r="F108" s="93"/>
      <c r="G108" s="93"/>
      <c r="H108" s="93"/>
      <c r="I108" s="93"/>
      <c r="J108" s="93"/>
      <c r="K108" s="93"/>
      <c r="L108" s="93"/>
    </row>
    <row r="109" spans="1:12" ht="16">
      <c r="A109" s="154"/>
      <c r="B109" s="155"/>
      <c r="C109" s="93"/>
      <c r="D109" s="93"/>
      <c r="E109" s="93"/>
      <c r="F109" s="93"/>
      <c r="G109" s="93"/>
      <c r="H109" s="93"/>
      <c r="I109" s="93"/>
      <c r="J109" s="93"/>
      <c r="K109" s="93"/>
      <c r="L109" s="93"/>
    </row>
    <row r="110" spans="1:12" ht="16">
      <c r="A110" s="154"/>
      <c r="B110" s="155"/>
      <c r="C110" s="93"/>
      <c r="D110" s="93"/>
      <c r="E110" s="93"/>
      <c r="F110" s="93"/>
      <c r="G110" s="93"/>
      <c r="H110" s="93"/>
      <c r="I110" s="93"/>
      <c r="J110" s="93"/>
      <c r="K110" s="93"/>
      <c r="L110" s="93"/>
    </row>
    <row r="111" spans="1:12" ht="16">
      <c r="A111" s="154"/>
      <c r="B111" s="155"/>
      <c r="C111" s="93"/>
      <c r="D111" s="93"/>
      <c r="E111" s="93"/>
      <c r="F111" s="93"/>
      <c r="G111" s="93"/>
      <c r="H111" s="93"/>
      <c r="I111" s="93"/>
      <c r="J111" s="93"/>
      <c r="K111" s="93"/>
      <c r="L111" s="93"/>
    </row>
    <row r="112" spans="1:12" ht="16">
      <c r="A112" s="154"/>
      <c r="B112" s="155"/>
      <c r="C112" s="93"/>
      <c r="D112" s="93"/>
      <c r="E112" s="93"/>
      <c r="F112" s="93"/>
      <c r="G112" s="93"/>
      <c r="H112" s="93"/>
      <c r="I112" s="93"/>
      <c r="J112" s="93"/>
      <c r="K112" s="93"/>
      <c r="L112" s="93"/>
    </row>
    <row r="113" spans="1:12" ht="16">
      <c r="A113" s="154"/>
      <c r="B113" s="155"/>
      <c r="C113" s="93"/>
      <c r="D113" s="93"/>
      <c r="E113" s="93"/>
      <c r="F113" s="93"/>
      <c r="G113" s="93"/>
      <c r="H113" s="93"/>
      <c r="I113" s="93"/>
      <c r="J113" s="93"/>
      <c r="K113" s="93"/>
      <c r="L113" s="93"/>
    </row>
    <row r="114" spans="1:12" ht="16">
      <c r="A114" s="154"/>
      <c r="B114" s="155"/>
      <c r="C114" s="93"/>
      <c r="D114" s="93"/>
      <c r="E114" s="93"/>
      <c r="F114" s="93"/>
      <c r="G114" s="93"/>
      <c r="H114" s="93"/>
      <c r="I114" s="93"/>
      <c r="J114" s="93"/>
      <c r="K114" s="93"/>
      <c r="L114" s="93"/>
    </row>
    <row r="115" spans="1:12" ht="16">
      <c r="A115" s="154"/>
      <c r="B115" s="155"/>
      <c r="C115" s="93"/>
      <c r="D115" s="93"/>
      <c r="E115" s="93"/>
      <c r="F115" s="93"/>
      <c r="G115" s="93"/>
      <c r="H115" s="93"/>
      <c r="I115" s="93"/>
      <c r="J115" s="93"/>
      <c r="K115" s="93"/>
      <c r="L115" s="93"/>
    </row>
    <row r="116" spans="1:12" ht="16">
      <c r="A116" s="154"/>
      <c r="B116" s="155"/>
      <c r="C116" s="93"/>
      <c r="D116" s="93"/>
      <c r="E116" s="93"/>
      <c r="F116" s="93"/>
      <c r="G116" s="93"/>
      <c r="H116" s="93"/>
      <c r="I116" s="93"/>
      <c r="J116" s="93"/>
      <c r="K116" s="93"/>
      <c r="L116" s="93"/>
    </row>
    <row r="117" spans="1:12" ht="16">
      <c r="A117" s="154"/>
      <c r="B117" s="155"/>
      <c r="C117" s="93"/>
      <c r="D117" s="93"/>
      <c r="E117" s="93"/>
      <c r="F117" s="93"/>
      <c r="G117" s="93"/>
      <c r="H117" s="93"/>
      <c r="I117" s="93"/>
      <c r="J117" s="93"/>
      <c r="K117" s="93"/>
      <c r="L117" s="93"/>
    </row>
    <row r="118" spans="1:12" ht="16">
      <c r="A118" s="154"/>
      <c r="B118" s="155"/>
      <c r="C118" s="93"/>
      <c r="D118" s="93"/>
      <c r="E118" s="93"/>
      <c r="F118" s="93"/>
      <c r="G118" s="93"/>
      <c r="H118" s="93"/>
      <c r="I118" s="93"/>
      <c r="J118" s="93"/>
      <c r="K118" s="93"/>
      <c r="L118" s="93"/>
    </row>
    <row r="119" spans="1:12" ht="16">
      <c r="A119" s="154"/>
      <c r="B119" s="155"/>
      <c r="C119" s="93"/>
      <c r="D119" s="93"/>
      <c r="E119" s="93"/>
      <c r="F119" s="93"/>
      <c r="G119" s="93"/>
      <c r="H119" s="93"/>
      <c r="I119" s="93"/>
      <c r="J119" s="93"/>
      <c r="K119" s="93"/>
      <c r="L119" s="93"/>
    </row>
    <row r="120" spans="1:12" ht="16">
      <c r="A120" s="154"/>
      <c r="B120" s="155"/>
      <c r="C120" s="93"/>
      <c r="D120" s="93"/>
      <c r="E120" s="93"/>
      <c r="F120" s="93"/>
      <c r="G120" s="93"/>
      <c r="H120" s="93"/>
      <c r="I120" s="93"/>
      <c r="J120" s="93"/>
      <c r="K120" s="93"/>
      <c r="L120" s="93"/>
    </row>
    <row r="121" spans="1:12" ht="16">
      <c r="A121" s="154"/>
      <c r="B121" s="155"/>
      <c r="C121" s="93"/>
      <c r="D121" s="93"/>
      <c r="E121" s="93"/>
      <c r="F121" s="93"/>
      <c r="G121" s="93"/>
      <c r="H121" s="93"/>
      <c r="I121" s="93"/>
      <c r="J121" s="93"/>
      <c r="K121" s="93"/>
      <c r="L121" s="93"/>
    </row>
    <row r="122" spans="1:12" ht="16">
      <c r="A122" s="154"/>
      <c r="B122" s="155"/>
      <c r="C122" s="93"/>
      <c r="D122" s="93"/>
      <c r="E122" s="93"/>
      <c r="F122" s="93"/>
      <c r="G122" s="93"/>
      <c r="H122" s="93"/>
      <c r="I122" s="93"/>
      <c r="J122" s="93"/>
      <c r="K122" s="93"/>
      <c r="L122" s="93"/>
    </row>
    <row r="123" spans="1:12" ht="16">
      <c r="A123" s="154"/>
      <c r="B123" s="155"/>
      <c r="C123" s="93"/>
      <c r="D123" s="93"/>
      <c r="E123" s="93"/>
      <c r="F123" s="93"/>
      <c r="G123" s="93"/>
      <c r="H123" s="93"/>
      <c r="I123" s="93"/>
      <c r="J123" s="93"/>
      <c r="K123" s="93"/>
      <c r="L123" s="93"/>
    </row>
    <row r="124" spans="1:12" ht="16">
      <c r="A124" s="154"/>
      <c r="B124" s="155"/>
      <c r="C124" s="93"/>
      <c r="D124" s="93"/>
      <c r="E124" s="93"/>
      <c r="F124" s="93"/>
      <c r="G124" s="93"/>
      <c r="H124" s="93"/>
      <c r="I124" s="93"/>
      <c r="J124" s="93"/>
      <c r="K124" s="93"/>
      <c r="L124" s="93"/>
    </row>
    <row r="125" spans="1:12" ht="16">
      <c r="A125" s="154"/>
      <c r="B125" s="155"/>
      <c r="C125" s="93"/>
      <c r="D125" s="93"/>
      <c r="E125" s="93"/>
      <c r="F125" s="93"/>
      <c r="G125" s="93"/>
      <c r="H125" s="93"/>
      <c r="I125" s="93"/>
      <c r="J125" s="93"/>
      <c r="K125" s="93"/>
      <c r="L125" s="93"/>
    </row>
    <row r="126" spans="1:12" ht="16">
      <c r="A126" s="154"/>
      <c r="B126" s="155"/>
      <c r="C126" s="93"/>
      <c r="D126" s="93"/>
      <c r="E126" s="93"/>
      <c r="F126" s="93"/>
      <c r="G126" s="93"/>
      <c r="H126" s="93"/>
      <c r="I126" s="93"/>
      <c r="J126" s="93"/>
      <c r="K126" s="93"/>
      <c r="L126" s="93"/>
    </row>
    <row r="127" spans="1:12" ht="16">
      <c r="A127" s="154"/>
      <c r="B127" s="155"/>
      <c r="C127" s="93"/>
      <c r="D127" s="93"/>
      <c r="E127" s="93"/>
      <c r="F127" s="93"/>
      <c r="G127" s="93"/>
      <c r="H127" s="93"/>
      <c r="I127" s="93"/>
      <c r="J127" s="93"/>
      <c r="K127" s="93"/>
      <c r="L127" s="93"/>
    </row>
    <row r="128" spans="1:12" ht="16">
      <c r="A128" s="154"/>
      <c r="B128" s="155"/>
      <c r="C128" s="93"/>
      <c r="D128" s="93"/>
      <c r="E128" s="93"/>
      <c r="F128" s="93"/>
      <c r="G128" s="93"/>
      <c r="H128" s="93"/>
      <c r="I128" s="93"/>
      <c r="J128" s="93"/>
      <c r="K128" s="93"/>
      <c r="L128" s="93"/>
    </row>
    <row r="129" spans="1:12" ht="16">
      <c r="A129" s="154"/>
      <c r="B129" s="155"/>
      <c r="C129" s="93"/>
      <c r="D129" s="93"/>
      <c r="E129" s="93"/>
      <c r="F129" s="93"/>
      <c r="G129" s="93"/>
      <c r="H129" s="93"/>
      <c r="I129" s="93"/>
      <c r="J129" s="93"/>
      <c r="K129" s="93"/>
      <c r="L129" s="93"/>
    </row>
    <row r="130" spans="1:12" ht="16">
      <c r="A130" s="154"/>
      <c r="B130" s="155"/>
      <c r="C130" s="93"/>
      <c r="D130" s="93"/>
      <c r="E130" s="93"/>
      <c r="F130" s="93"/>
      <c r="G130" s="93"/>
      <c r="H130" s="93"/>
      <c r="I130" s="93"/>
      <c r="J130" s="93"/>
      <c r="K130" s="93"/>
      <c r="L130" s="93"/>
    </row>
    <row r="131" spans="1:12" ht="16">
      <c r="A131" s="154"/>
      <c r="B131" s="155"/>
      <c r="C131" s="93"/>
      <c r="D131" s="93"/>
      <c r="E131" s="93"/>
      <c r="F131" s="93"/>
      <c r="G131" s="93"/>
      <c r="H131" s="93"/>
      <c r="I131" s="93"/>
      <c r="J131" s="93"/>
      <c r="K131" s="93"/>
      <c r="L131" s="93"/>
    </row>
    <row r="132" spans="1:12" ht="16">
      <c r="A132" s="154"/>
      <c r="B132" s="155"/>
      <c r="C132" s="93"/>
      <c r="D132" s="93"/>
      <c r="E132" s="93"/>
      <c r="F132" s="93"/>
      <c r="G132" s="93"/>
      <c r="H132" s="93"/>
      <c r="I132" s="93"/>
      <c r="J132" s="93"/>
      <c r="K132" s="93"/>
      <c r="L132" s="93"/>
    </row>
    <row r="133" spans="1:12" ht="16">
      <c r="A133" s="154"/>
      <c r="B133" s="155"/>
      <c r="C133" s="93"/>
      <c r="D133" s="93"/>
      <c r="E133" s="93"/>
      <c r="F133" s="93"/>
      <c r="G133" s="93"/>
      <c r="H133" s="93"/>
      <c r="I133" s="93"/>
      <c r="J133" s="93"/>
      <c r="K133" s="93"/>
      <c r="L133" s="93"/>
    </row>
    <row r="134" spans="1:12" ht="16">
      <c r="A134" s="154"/>
      <c r="B134" s="155"/>
      <c r="C134" s="93"/>
      <c r="D134" s="93"/>
      <c r="E134" s="93"/>
      <c r="F134" s="93"/>
      <c r="G134" s="93"/>
      <c r="H134" s="93"/>
      <c r="I134" s="93"/>
      <c r="J134" s="93"/>
      <c r="K134" s="93"/>
      <c r="L134" s="93"/>
    </row>
    <row r="135" spans="1:12" ht="16">
      <c r="A135" s="154"/>
      <c r="B135" s="155"/>
      <c r="C135" s="93"/>
      <c r="D135" s="93"/>
      <c r="E135" s="93"/>
      <c r="F135" s="93"/>
      <c r="G135" s="93"/>
      <c r="H135" s="93"/>
      <c r="I135" s="93"/>
      <c r="J135" s="93"/>
      <c r="K135" s="93"/>
      <c r="L135" s="93"/>
    </row>
    <row r="136" spans="1:12" ht="16">
      <c r="A136" s="154"/>
      <c r="B136" s="155"/>
      <c r="C136" s="93"/>
      <c r="D136" s="93"/>
      <c r="E136" s="93"/>
      <c r="F136" s="93"/>
      <c r="G136" s="93"/>
      <c r="H136" s="93"/>
      <c r="I136" s="93"/>
      <c r="J136" s="93"/>
      <c r="K136" s="93"/>
      <c r="L136" s="93"/>
    </row>
    <row r="137" spans="1:12" ht="16">
      <c r="A137" s="154"/>
      <c r="B137" s="155"/>
      <c r="C137" s="93"/>
      <c r="D137" s="93"/>
      <c r="E137" s="93"/>
      <c r="F137" s="93"/>
      <c r="G137" s="93"/>
      <c r="H137" s="93"/>
      <c r="I137" s="93"/>
      <c r="J137" s="93"/>
      <c r="K137" s="93"/>
      <c r="L137" s="93"/>
    </row>
    <row r="138" spans="1:12" ht="16">
      <c r="A138" s="154"/>
      <c r="B138" s="155"/>
      <c r="C138" s="93"/>
      <c r="D138" s="93"/>
      <c r="E138" s="93"/>
      <c r="F138" s="93"/>
      <c r="G138" s="93"/>
      <c r="H138" s="93"/>
      <c r="I138" s="93"/>
      <c r="J138" s="93"/>
      <c r="K138" s="93"/>
      <c r="L138" s="93"/>
    </row>
    <row r="139" spans="1:12" ht="16">
      <c r="A139" s="154"/>
      <c r="B139" s="155"/>
      <c r="C139" s="93"/>
      <c r="D139" s="93"/>
      <c r="E139" s="93"/>
      <c r="F139" s="93"/>
      <c r="G139" s="93"/>
      <c r="H139" s="93"/>
      <c r="I139" s="93"/>
      <c r="J139" s="93"/>
      <c r="K139" s="93"/>
      <c r="L139" s="93"/>
    </row>
    <row r="140" spans="1:12" ht="16">
      <c r="A140" s="154"/>
      <c r="B140" s="155"/>
      <c r="C140" s="93"/>
      <c r="D140" s="93"/>
      <c r="E140" s="93"/>
      <c r="F140" s="93"/>
      <c r="G140" s="93"/>
      <c r="H140" s="93"/>
      <c r="I140" s="93"/>
      <c r="J140" s="93"/>
      <c r="K140" s="93"/>
      <c r="L140" s="93"/>
    </row>
    <row r="141" spans="1:12" ht="16">
      <c r="A141" s="154"/>
      <c r="B141" s="155"/>
      <c r="C141" s="93"/>
      <c r="D141" s="93"/>
      <c r="E141" s="93"/>
      <c r="F141" s="93"/>
      <c r="G141" s="93"/>
      <c r="H141" s="93"/>
      <c r="I141" s="93"/>
      <c r="J141" s="93"/>
      <c r="K141" s="93"/>
      <c r="L141" s="93"/>
    </row>
    <row r="142" spans="1:12" ht="16">
      <c r="A142" s="154"/>
      <c r="B142" s="155"/>
      <c r="C142" s="93"/>
      <c r="D142" s="93"/>
      <c r="E142" s="93"/>
      <c r="F142" s="93"/>
      <c r="G142" s="93"/>
      <c r="H142" s="93"/>
      <c r="I142" s="93"/>
      <c r="J142" s="93"/>
      <c r="K142" s="93"/>
      <c r="L142" s="93"/>
    </row>
    <row r="143" spans="1:12" ht="16">
      <c r="A143" s="154"/>
      <c r="B143" s="155"/>
      <c r="C143" s="93"/>
      <c r="D143" s="93"/>
      <c r="E143" s="93"/>
      <c r="F143" s="93"/>
      <c r="G143" s="93"/>
      <c r="H143" s="93"/>
      <c r="I143" s="93"/>
      <c r="J143" s="93"/>
      <c r="K143" s="93"/>
      <c r="L143" s="93"/>
    </row>
    <row r="144" spans="1:12" ht="16">
      <c r="A144" s="154"/>
      <c r="B144" s="155"/>
      <c r="C144" s="93"/>
      <c r="D144" s="93"/>
      <c r="E144" s="93"/>
      <c r="F144" s="93"/>
      <c r="G144" s="93"/>
      <c r="H144" s="93"/>
      <c r="I144" s="93"/>
      <c r="J144" s="93"/>
      <c r="K144" s="93"/>
      <c r="L144" s="93"/>
    </row>
    <row r="145" spans="1:12" ht="16">
      <c r="A145" s="154"/>
      <c r="B145" s="155"/>
      <c r="C145" s="93"/>
      <c r="D145" s="93"/>
      <c r="E145" s="93"/>
      <c r="F145" s="93"/>
      <c r="G145" s="93"/>
      <c r="H145" s="93"/>
      <c r="I145" s="93"/>
      <c r="J145" s="93"/>
      <c r="K145" s="93"/>
      <c r="L145" s="93"/>
    </row>
    <row r="146" spans="1:12" ht="16">
      <c r="A146" s="154"/>
      <c r="B146" s="155"/>
      <c r="C146" s="93"/>
      <c r="D146" s="93"/>
      <c r="E146" s="93"/>
      <c r="F146" s="93"/>
      <c r="G146" s="93"/>
      <c r="H146" s="93"/>
      <c r="I146" s="93"/>
      <c r="J146" s="93"/>
      <c r="K146" s="93"/>
      <c r="L146" s="93"/>
    </row>
    <row r="147" spans="1:12" ht="16">
      <c r="A147" s="154"/>
      <c r="B147" s="155"/>
      <c r="C147" s="93"/>
      <c r="D147" s="93"/>
      <c r="E147" s="93"/>
      <c r="F147" s="93"/>
      <c r="G147" s="93"/>
      <c r="H147" s="93"/>
      <c r="I147" s="93"/>
      <c r="J147" s="93"/>
      <c r="K147" s="93"/>
      <c r="L147" s="93"/>
    </row>
    <row r="148" spans="1:12" ht="16">
      <c r="A148" s="154"/>
      <c r="B148" s="155"/>
      <c r="C148" s="93"/>
      <c r="D148" s="93"/>
      <c r="E148" s="93"/>
      <c r="F148" s="93"/>
      <c r="G148" s="93"/>
      <c r="H148" s="93"/>
      <c r="I148" s="93"/>
      <c r="J148" s="93"/>
      <c r="K148" s="93"/>
      <c r="L148" s="93"/>
    </row>
    <row r="149" spans="1:12" ht="16">
      <c r="A149" s="154"/>
      <c r="B149" s="155"/>
      <c r="C149" s="93"/>
      <c r="D149" s="93"/>
      <c r="E149" s="93"/>
      <c r="F149" s="93"/>
      <c r="G149" s="93"/>
      <c r="H149" s="93"/>
      <c r="I149" s="93"/>
      <c r="J149" s="93"/>
      <c r="K149" s="93"/>
      <c r="L149" s="93"/>
    </row>
    <row r="150" spans="1:12" ht="16">
      <c r="A150" s="154"/>
      <c r="B150" s="155"/>
      <c r="C150" s="93"/>
      <c r="D150" s="93"/>
      <c r="E150" s="93"/>
      <c r="F150" s="93"/>
      <c r="G150" s="93"/>
      <c r="H150" s="93"/>
      <c r="I150" s="93"/>
      <c r="J150" s="93"/>
      <c r="K150" s="93"/>
      <c r="L150" s="93"/>
    </row>
    <row r="151" spans="1:12" ht="16">
      <c r="A151" s="154"/>
      <c r="B151" s="155"/>
      <c r="C151" s="93"/>
      <c r="D151" s="93"/>
      <c r="E151" s="93"/>
      <c r="F151" s="93"/>
      <c r="G151" s="93"/>
      <c r="H151" s="93"/>
      <c r="I151" s="93"/>
      <c r="J151" s="93"/>
      <c r="K151" s="93"/>
      <c r="L151" s="93"/>
    </row>
    <row r="152" spans="1:12" ht="16">
      <c r="A152" s="154"/>
      <c r="B152" s="155"/>
      <c r="C152" s="93"/>
      <c r="D152" s="93"/>
      <c r="E152" s="93"/>
      <c r="F152" s="93"/>
      <c r="G152" s="93"/>
      <c r="H152" s="93"/>
      <c r="I152" s="93"/>
      <c r="J152" s="93"/>
      <c r="K152" s="93"/>
      <c r="L152" s="93"/>
    </row>
    <row r="153" spans="1:12" ht="16">
      <c r="A153" s="154"/>
      <c r="B153" s="155"/>
      <c r="C153" s="93"/>
      <c r="D153" s="93"/>
      <c r="E153" s="93"/>
      <c r="F153" s="93"/>
      <c r="G153" s="93"/>
      <c r="H153" s="93"/>
      <c r="I153" s="93"/>
      <c r="J153" s="93"/>
      <c r="K153" s="93"/>
      <c r="L153" s="93"/>
    </row>
    <row r="154" spans="1:12" ht="16">
      <c r="A154" s="154"/>
      <c r="B154" s="155"/>
      <c r="C154" s="93"/>
      <c r="D154" s="93"/>
      <c r="E154" s="93"/>
      <c r="F154" s="93"/>
      <c r="G154" s="93"/>
      <c r="H154" s="93"/>
      <c r="I154" s="93"/>
      <c r="J154" s="93"/>
      <c r="K154" s="93"/>
      <c r="L154" s="93"/>
    </row>
    <row r="155" spans="1:12" ht="16">
      <c r="A155" s="154"/>
      <c r="B155" s="155"/>
      <c r="C155" s="93"/>
      <c r="D155" s="93"/>
      <c r="E155" s="93"/>
      <c r="F155" s="93"/>
      <c r="G155" s="93"/>
      <c r="H155" s="93"/>
      <c r="I155" s="93"/>
      <c r="J155" s="93"/>
      <c r="K155" s="93"/>
      <c r="L155" s="93"/>
    </row>
    <row r="156" spans="1:12" ht="16">
      <c r="A156" s="154"/>
      <c r="B156" s="155"/>
      <c r="C156" s="93"/>
      <c r="D156" s="93"/>
      <c r="E156" s="93"/>
      <c r="F156" s="93"/>
      <c r="G156" s="93"/>
      <c r="H156" s="93"/>
      <c r="I156" s="93"/>
      <c r="J156" s="93"/>
      <c r="K156" s="93"/>
      <c r="L156" s="93"/>
    </row>
    <row r="157" spans="1:12" ht="16">
      <c r="A157" s="154"/>
      <c r="B157" s="155"/>
      <c r="C157" s="93"/>
      <c r="D157" s="93"/>
      <c r="E157" s="93"/>
      <c r="F157" s="93"/>
      <c r="G157" s="93"/>
      <c r="H157" s="93"/>
      <c r="I157" s="93"/>
      <c r="J157" s="93"/>
      <c r="K157" s="93"/>
      <c r="L157" s="93"/>
    </row>
    <row r="158" spans="1:12" ht="16">
      <c r="A158" s="154"/>
      <c r="B158" s="155"/>
      <c r="C158" s="93"/>
      <c r="D158" s="93"/>
      <c r="E158" s="93"/>
      <c r="F158" s="93"/>
      <c r="G158" s="93"/>
      <c r="H158" s="93"/>
      <c r="I158" s="93"/>
      <c r="J158" s="93"/>
      <c r="K158" s="93"/>
      <c r="L158" s="93"/>
    </row>
    <row r="159" spans="1:12" ht="16">
      <c r="A159" s="154"/>
      <c r="B159" s="155"/>
      <c r="C159" s="93"/>
      <c r="D159" s="93"/>
      <c r="E159" s="93"/>
      <c r="F159" s="93"/>
      <c r="G159" s="93"/>
      <c r="H159" s="93"/>
      <c r="I159" s="93"/>
      <c r="J159" s="93"/>
      <c r="K159" s="93"/>
      <c r="L159" s="93"/>
    </row>
    <row r="160" spans="1:12" ht="16">
      <c r="A160" s="154"/>
      <c r="B160" s="155"/>
      <c r="C160" s="93"/>
      <c r="D160" s="93"/>
      <c r="E160" s="93"/>
      <c r="F160" s="93"/>
      <c r="G160" s="93"/>
      <c r="H160" s="93"/>
      <c r="I160" s="93"/>
      <c r="J160" s="93"/>
      <c r="K160" s="93"/>
      <c r="L160" s="93"/>
    </row>
    <row r="161" spans="1:12" ht="16">
      <c r="A161" s="154"/>
      <c r="B161" s="155"/>
      <c r="C161" s="93"/>
      <c r="D161" s="93"/>
      <c r="E161" s="93"/>
      <c r="F161" s="93"/>
      <c r="G161" s="93"/>
      <c r="H161" s="93"/>
      <c r="I161" s="93"/>
      <c r="J161" s="93"/>
      <c r="K161" s="93"/>
      <c r="L161" s="93"/>
    </row>
    <row r="162" spans="1:12" ht="16">
      <c r="A162" s="154"/>
      <c r="B162" s="155"/>
      <c r="C162" s="93"/>
      <c r="D162" s="93"/>
      <c r="E162" s="93"/>
      <c r="F162" s="93"/>
      <c r="G162" s="93"/>
      <c r="H162" s="93"/>
      <c r="I162" s="93"/>
      <c r="J162" s="93"/>
      <c r="K162" s="93"/>
      <c r="L162" s="93"/>
    </row>
    <row r="163" spans="1:12" ht="16">
      <c r="A163" s="154"/>
      <c r="B163" s="155"/>
      <c r="C163" s="93"/>
      <c r="D163" s="93"/>
      <c r="E163" s="93"/>
      <c r="F163" s="93"/>
      <c r="G163" s="93"/>
      <c r="H163" s="93"/>
      <c r="I163" s="93"/>
      <c r="J163" s="93"/>
      <c r="K163" s="93"/>
      <c r="L163" s="93"/>
    </row>
    <row r="164" spans="1:12" ht="16">
      <c r="A164" s="154"/>
      <c r="B164" s="155"/>
      <c r="C164" s="93"/>
      <c r="D164" s="93"/>
      <c r="E164" s="93"/>
      <c r="F164" s="93"/>
      <c r="G164" s="93"/>
      <c r="H164" s="93"/>
      <c r="I164" s="93"/>
      <c r="J164" s="93"/>
      <c r="K164" s="93"/>
      <c r="L164" s="93"/>
    </row>
    <row r="165" spans="1:12" ht="16">
      <c r="A165" s="154"/>
      <c r="B165" s="155"/>
      <c r="C165" s="93"/>
      <c r="D165" s="93"/>
      <c r="E165" s="93"/>
      <c r="F165" s="93"/>
      <c r="G165" s="93"/>
      <c r="H165" s="93"/>
      <c r="I165" s="93"/>
      <c r="J165" s="93"/>
      <c r="K165" s="93"/>
      <c r="L165" s="93"/>
    </row>
    <row r="166" spans="1:12" ht="16">
      <c r="A166" s="154"/>
      <c r="B166" s="155"/>
      <c r="C166" s="93"/>
      <c r="D166" s="93"/>
      <c r="E166" s="93"/>
      <c r="F166" s="93"/>
      <c r="G166" s="93"/>
      <c r="H166" s="93"/>
      <c r="I166" s="93"/>
      <c r="J166" s="93"/>
      <c r="K166" s="93"/>
      <c r="L166" s="93"/>
    </row>
    <row r="167" spans="1:12" ht="16">
      <c r="A167" s="154"/>
      <c r="B167" s="155"/>
      <c r="C167" s="93"/>
      <c r="D167" s="93"/>
      <c r="E167" s="93"/>
      <c r="F167" s="93"/>
      <c r="G167" s="93"/>
      <c r="H167" s="93"/>
      <c r="I167" s="93"/>
      <c r="J167" s="93"/>
      <c r="K167" s="93"/>
      <c r="L167" s="93"/>
    </row>
    <row r="168" spans="1:12" ht="16">
      <c r="A168" s="154"/>
      <c r="B168" s="155"/>
      <c r="C168" s="93"/>
      <c r="D168" s="93"/>
      <c r="E168" s="93"/>
      <c r="F168" s="93"/>
      <c r="G168" s="93"/>
      <c r="H168" s="93"/>
      <c r="I168" s="93"/>
      <c r="J168" s="93"/>
      <c r="K168" s="93"/>
      <c r="L168" s="93"/>
    </row>
    <row r="169" spans="1:12" ht="16">
      <c r="A169" s="154"/>
      <c r="B169" s="155"/>
      <c r="C169" s="93"/>
      <c r="D169" s="93"/>
      <c r="E169" s="93"/>
      <c r="F169" s="93"/>
      <c r="G169" s="93"/>
      <c r="H169" s="93"/>
      <c r="I169" s="93"/>
      <c r="J169" s="93"/>
      <c r="K169" s="93"/>
      <c r="L169" s="93"/>
    </row>
    <row r="170" spans="1:12" ht="16">
      <c r="A170" s="154"/>
      <c r="B170" s="155"/>
      <c r="C170" s="93"/>
      <c r="D170" s="93"/>
      <c r="E170" s="93"/>
      <c r="F170" s="93"/>
      <c r="G170" s="93"/>
      <c r="H170" s="93"/>
      <c r="I170" s="93"/>
      <c r="J170" s="93"/>
      <c r="K170" s="93"/>
      <c r="L170" s="93"/>
    </row>
    <row r="171" spans="1:12" ht="16">
      <c r="A171" s="154"/>
      <c r="B171" s="155"/>
      <c r="C171" s="93"/>
      <c r="D171" s="93"/>
      <c r="E171" s="93"/>
      <c r="F171" s="93"/>
      <c r="G171" s="93"/>
      <c r="H171" s="93"/>
      <c r="I171" s="93"/>
      <c r="J171" s="93"/>
      <c r="K171" s="93"/>
      <c r="L171" s="93"/>
    </row>
    <row r="172" spans="1:12" ht="16">
      <c r="A172" s="154"/>
      <c r="B172" s="155"/>
      <c r="C172" s="93"/>
      <c r="D172" s="93"/>
      <c r="E172" s="93"/>
      <c r="F172" s="93"/>
      <c r="G172" s="93"/>
      <c r="H172" s="93"/>
      <c r="I172" s="93"/>
      <c r="J172" s="93"/>
      <c r="K172" s="93"/>
      <c r="L172" s="93"/>
    </row>
    <row r="173" spans="1:12" ht="16">
      <c r="A173" s="154"/>
      <c r="B173" s="155"/>
      <c r="C173" s="93"/>
      <c r="D173" s="93"/>
      <c r="E173" s="93"/>
      <c r="F173" s="93"/>
      <c r="G173" s="93"/>
      <c r="H173" s="93"/>
      <c r="I173" s="93"/>
      <c r="J173" s="93"/>
      <c r="K173" s="93"/>
      <c r="L173" s="93"/>
    </row>
    <row r="174" spans="1:12" ht="16">
      <c r="A174" s="154"/>
      <c r="B174" s="155"/>
      <c r="C174" s="93"/>
      <c r="D174" s="93"/>
      <c r="E174" s="93"/>
      <c r="F174" s="93"/>
      <c r="G174" s="93"/>
      <c r="H174" s="93"/>
      <c r="I174" s="93"/>
      <c r="J174" s="93"/>
      <c r="K174" s="93"/>
      <c r="L174" s="93"/>
    </row>
    <row r="175" spans="1:12" ht="16">
      <c r="A175" s="154"/>
      <c r="B175" s="155"/>
      <c r="C175" s="93"/>
      <c r="D175" s="93"/>
      <c r="E175" s="93"/>
      <c r="F175" s="93"/>
      <c r="G175" s="93"/>
      <c r="H175" s="93"/>
      <c r="I175" s="93"/>
      <c r="J175" s="93"/>
      <c r="K175" s="93"/>
      <c r="L175" s="93"/>
    </row>
    <row r="176" spans="1:12" ht="16">
      <c r="A176" s="154"/>
      <c r="B176" s="155"/>
      <c r="C176" s="93"/>
      <c r="D176" s="93"/>
      <c r="E176" s="93"/>
      <c r="F176" s="93"/>
      <c r="G176" s="93"/>
      <c r="H176" s="93"/>
      <c r="I176" s="93"/>
      <c r="J176" s="93"/>
      <c r="K176" s="93"/>
      <c r="L176" s="93"/>
    </row>
    <row r="177" spans="1:12" ht="16">
      <c r="A177" s="154"/>
      <c r="B177" s="155"/>
      <c r="C177" s="93"/>
      <c r="D177" s="93"/>
      <c r="E177" s="93"/>
      <c r="F177" s="93"/>
      <c r="G177" s="93"/>
      <c r="H177" s="93"/>
      <c r="I177" s="93"/>
      <c r="J177" s="93"/>
      <c r="K177" s="93"/>
      <c r="L177" s="93"/>
    </row>
    <row r="178" spans="1:12" ht="16">
      <c r="A178" s="154"/>
      <c r="B178" s="155"/>
      <c r="C178" s="93"/>
      <c r="D178" s="93"/>
      <c r="E178" s="93"/>
      <c r="F178" s="93"/>
      <c r="G178" s="93"/>
      <c r="H178" s="93"/>
      <c r="I178" s="93"/>
      <c r="J178" s="93"/>
      <c r="K178" s="93"/>
      <c r="L178" s="93"/>
    </row>
    <row r="179" spans="1:12" ht="16">
      <c r="A179" s="154"/>
      <c r="B179" s="155"/>
      <c r="C179" s="93"/>
      <c r="D179" s="93"/>
      <c r="E179" s="93"/>
      <c r="F179" s="93"/>
      <c r="G179" s="93"/>
      <c r="H179" s="93"/>
      <c r="I179" s="93"/>
      <c r="J179" s="93"/>
      <c r="K179" s="93"/>
      <c r="L179" s="93"/>
    </row>
    <row r="180" spans="1:12" ht="16">
      <c r="A180" s="154"/>
      <c r="B180" s="155"/>
      <c r="C180" s="93"/>
      <c r="D180" s="93"/>
      <c r="E180" s="93"/>
      <c r="F180" s="93"/>
      <c r="G180" s="93"/>
      <c r="H180" s="93"/>
      <c r="I180" s="93"/>
      <c r="J180" s="93"/>
      <c r="K180" s="93"/>
      <c r="L180" s="93"/>
    </row>
    <row r="181" spans="1:12" ht="16">
      <c r="A181" s="154"/>
      <c r="B181" s="155"/>
      <c r="C181" s="93"/>
      <c r="D181" s="93"/>
      <c r="E181" s="93"/>
      <c r="F181" s="93"/>
      <c r="G181" s="93"/>
      <c r="H181" s="93"/>
      <c r="I181" s="93"/>
      <c r="J181" s="93"/>
      <c r="K181" s="93"/>
      <c r="L181" s="93"/>
    </row>
    <row r="182" spans="1:12" ht="16">
      <c r="A182" s="154"/>
      <c r="B182" s="155"/>
      <c r="C182" s="93"/>
      <c r="D182" s="93"/>
      <c r="E182" s="93"/>
      <c r="F182" s="93"/>
      <c r="G182" s="93"/>
      <c r="H182" s="93"/>
      <c r="I182" s="93"/>
      <c r="J182" s="93"/>
      <c r="K182" s="93"/>
      <c r="L182" s="93"/>
    </row>
    <row r="183" spans="1:12" ht="16">
      <c r="A183" s="154"/>
      <c r="B183" s="155"/>
      <c r="C183" s="93"/>
      <c r="D183" s="93"/>
      <c r="E183" s="93"/>
      <c r="F183" s="93"/>
      <c r="G183" s="93"/>
      <c r="H183" s="93"/>
      <c r="I183" s="93"/>
      <c r="J183" s="93"/>
      <c r="K183" s="93"/>
      <c r="L183" s="93"/>
    </row>
    <row r="184" spans="1:12" ht="16">
      <c r="A184" s="154"/>
      <c r="B184" s="155"/>
      <c r="C184" s="93"/>
      <c r="D184" s="93"/>
      <c r="E184" s="93"/>
      <c r="F184" s="93"/>
      <c r="G184" s="93"/>
      <c r="H184" s="93"/>
      <c r="I184" s="93"/>
      <c r="J184" s="93"/>
      <c r="K184" s="93"/>
      <c r="L184" s="93"/>
    </row>
    <row r="185" spans="1:12" ht="16">
      <c r="A185" s="154"/>
      <c r="B185" s="155"/>
      <c r="C185" s="93"/>
      <c r="D185" s="93"/>
      <c r="E185" s="93"/>
      <c r="F185" s="93"/>
      <c r="G185" s="93"/>
      <c r="H185" s="93"/>
      <c r="I185" s="93"/>
      <c r="J185" s="93"/>
      <c r="K185" s="93"/>
      <c r="L185" s="93"/>
    </row>
    <row r="186" spans="1:12" ht="16">
      <c r="A186" s="154"/>
      <c r="B186" s="155"/>
      <c r="C186" s="93"/>
      <c r="D186" s="93"/>
      <c r="E186" s="93"/>
      <c r="F186" s="93"/>
      <c r="G186" s="93"/>
      <c r="H186" s="93"/>
      <c r="I186" s="93"/>
      <c r="J186" s="93"/>
      <c r="K186" s="93"/>
      <c r="L186" s="93"/>
    </row>
    <row r="187" spans="1:12" ht="16">
      <c r="A187" s="154"/>
      <c r="B187" s="155"/>
      <c r="C187" s="93"/>
      <c r="D187" s="93"/>
      <c r="E187" s="93"/>
      <c r="F187" s="93"/>
      <c r="G187" s="93"/>
      <c r="H187" s="93"/>
      <c r="I187" s="93"/>
      <c r="J187" s="93"/>
      <c r="K187" s="93"/>
      <c r="L187" s="93"/>
    </row>
    <row r="188" spans="1:12" ht="16">
      <c r="A188" s="154"/>
      <c r="B188" s="155"/>
      <c r="C188" s="93"/>
      <c r="D188" s="93"/>
      <c r="E188" s="93"/>
      <c r="F188" s="93"/>
      <c r="G188" s="93"/>
      <c r="H188" s="93"/>
      <c r="I188" s="93"/>
      <c r="J188" s="93"/>
      <c r="K188" s="93"/>
      <c r="L188" s="93"/>
    </row>
    <row r="189" spans="1:12" ht="16">
      <c r="A189" s="154"/>
      <c r="B189" s="155"/>
      <c r="C189" s="93"/>
      <c r="D189" s="93"/>
      <c r="E189" s="93"/>
      <c r="F189" s="93"/>
      <c r="G189" s="93"/>
      <c r="H189" s="93"/>
      <c r="I189" s="93"/>
      <c r="J189" s="93"/>
      <c r="K189" s="93"/>
      <c r="L189" s="93"/>
    </row>
    <row r="190" spans="1:12" ht="16">
      <c r="A190" s="154"/>
      <c r="B190" s="155"/>
      <c r="C190" s="93"/>
      <c r="D190" s="93"/>
      <c r="E190" s="93"/>
      <c r="F190" s="93"/>
      <c r="G190" s="93"/>
      <c r="H190" s="93"/>
      <c r="I190" s="93"/>
      <c r="J190" s="93"/>
      <c r="K190" s="93"/>
      <c r="L190" s="93"/>
    </row>
    <row r="191" spans="1:12" ht="16">
      <c r="A191" s="154"/>
      <c r="B191" s="155"/>
      <c r="C191" s="93"/>
      <c r="D191" s="93"/>
      <c r="E191" s="93"/>
      <c r="F191" s="93"/>
      <c r="G191" s="93"/>
      <c r="H191" s="93"/>
      <c r="I191" s="93"/>
      <c r="J191" s="93"/>
      <c r="K191" s="93"/>
      <c r="L191" s="93"/>
    </row>
    <row r="192" spans="1:12" ht="16">
      <c r="A192" s="154"/>
      <c r="B192" s="155"/>
      <c r="C192" s="93"/>
      <c r="D192" s="93"/>
      <c r="E192" s="93"/>
      <c r="F192" s="93"/>
      <c r="G192" s="93"/>
      <c r="H192" s="93"/>
      <c r="I192" s="93"/>
      <c r="J192" s="93"/>
      <c r="K192" s="93"/>
      <c r="L192" s="93"/>
    </row>
    <row r="193" spans="1:12" ht="16">
      <c r="A193" s="154"/>
      <c r="B193" s="155"/>
      <c r="C193" s="93"/>
      <c r="D193" s="93"/>
      <c r="E193" s="93"/>
      <c r="F193" s="93"/>
      <c r="G193" s="93"/>
      <c r="H193" s="93"/>
      <c r="I193" s="93"/>
      <c r="J193" s="93"/>
      <c r="K193" s="93"/>
      <c r="L193" s="93"/>
    </row>
    <row r="194" spans="1:12" ht="16">
      <c r="A194" s="154"/>
      <c r="B194" s="155"/>
      <c r="C194" s="93"/>
      <c r="D194" s="93"/>
      <c r="E194" s="93"/>
      <c r="F194" s="93"/>
      <c r="G194" s="93"/>
      <c r="H194" s="93"/>
      <c r="I194" s="93"/>
      <c r="J194" s="93"/>
      <c r="K194" s="93"/>
      <c r="L194" s="93"/>
    </row>
    <row r="195" spans="1:12" ht="16">
      <c r="A195" s="154"/>
      <c r="B195" s="155"/>
      <c r="C195" s="93"/>
      <c r="D195" s="93"/>
      <c r="E195" s="93"/>
      <c r="F195" s="93"/>
      <c r="G195" s="93"/>
      <c r="H195" s="93"/>
      <c r="I195" s="93"/>
      <c r="J195" s="93"/>
      <c r="K195" s="93"/>
      <c r="L195" s="93"/>
    </row>
    <row r="196" spans="1:12" ht="16">
      <c r="A196" s="154"/>
      <c r="B196" s="155"/>
      <c r="C196" s="93"/>
      <c r="D196" s="93"/>
      <c r="E196" s="93"/>
      <c r="F196" s="93"/>
      <c r="G196" s="93"/>
      <c r="H196" s="93"/>
      <c r="I196" s="93"/>
      <c r="J196" s="93"/>
      <c r="K196" s="93"/>
      <c r="L196" s="93"/>
    </row>
    <row r="197" spans="1:12" ht="16">
      <c r="A197" s="154"/>
      <c r="B197" s="155"/>
      <c r="C197" s="93"/>
      <c r="D197" s="93"/>
      <c r="E197" s="93"/>
      <c r="F197" s="93"/>
      <c r="G197" s="93"/>
      <c r="H197" s="93"/>
      <c r="I197" s="93"/>
      <c r="J197" s="93"/>
      <c r="K197" s="93"/>
      <c r="L197" s="93"/>
    </row>
    <row r="198" spans="1:12" ht="16">
      <c r="A198" s="154"/>
      <c r="B198" s="155"/>
      <c r="C198" s="93"/>
      <c r="D198" s="93"/>
      <c r="E198" s="93"/>
      <c r="F198" s="93"/>
      <c r="G198" s="93"/>
      <c r="H198" s="93"/>
      <c r="I198" s="93"/>
      <c r="J198" s="93"/>
      <c r="K198" s="93"/>
      <c r="L198" s="93"/>
    </row>
    <row r="199" spans="1:12" ht="16">
      <c r="A199" s="154"/>
      <c r="B199" s="155"/>
      <c r="C199" s="93"/>
      <c r="D199" s="93"/>
      <c r="E199" s="93"/>
      <c r="F199" s="93"/>
      <c r="G199" s="93"/>
      <c r="H199" s="93"/>
      <c r="I199" s="93"/>
      <c r="J199" s="93"/>
      <c r="K199" s="93"/>
      <c r="L199" s="93"/>
    </row>
    <row r="200" spans="1:12" ht="16">
      <c r="A200" s="154"/>
      <c r="B200" s="155"/>
      <c r="C200" s="93"/>
      <c r="D200" s="93"/>
      <c r="E200" s="93"/>
      <c r="F200" s="93"/>
      <c r="G200" s="93"/>
      <c r="H200" s="93"/>
      <c r="I200" s="93"/>
      <c r="J200" s="93"/>
      <c r="K200" s="93"/>
      <c r="L200" s="93"/>
    </row>
    <row r="201" spans="1:12" ht="16">
      <c r="A201" s="154"/>
      <c r="B201" s="155"/>
      <c r="C201" s="93"/>
      <c r="D201" s="93"/>
      <c r="E201" s="93"/>
      <c r="F201" s="93"/>
      <c r="G201" s="93"/>
      <c r="H201" s="93"/>
      <c r="I201" s="93"/>
      <c r="J201" s="93"/>
      <c r="K201" s="93"/>
      <c r="L201" s="93"/>
    </row>
    <row r="202" spans="1:12" ht="16">
      <c r="A202" s="154"/>
      <c r="B202" s="155"/>
      <c r="C202" s="93"/>
      <c r="D202" s="93"/>
      <c r="E202" s="93"/>
      <c r="F202" s="93"/>
      <c r="G202" s="93"/>
      <c r="H202" s="93"/>
      <c r="I202" s="93"/>
      <c r="J202" s="93"/>
      <c r="K202" s="93"/>
      <c r="L202" s="93"/>
    </row>
    <row r="203" spans="1:12" ht="16">
      <c r="A203" s="154"/>
      <c r="B203" s="155"/>
      <c r="C203" s="93"/>
      <c r="D203" s="93"/>
      <c r="E203" s="93"/>
      <c r="F203" s="93"/>
      <c r="G203" s="93"/>
      <c r="H203" s="93"/>
      <c r="I203" s="93"/>
      <c r="J203" s="93"/>
      <c r="K203" s="93"/>
      <c r="L203" s="93"/>
    </row>
    <row r="204" spans="1:12" ht="16">
      <c r="A204" s="154"/>
      <c r="B204" s="155"/>
      <c r="C204" s="93"/>
      <c r="D204" s="93"/>
      <c r="E204" s="93"/>
      <c r="F204" s="93"/>
      <c r="G204" s="93"/>
      <c r="H204" s="93"/>
      <c r="I204" s="93"/>
      <c r="J204" s="93"/>
      <c r="K204" s="93"/>
      <c r="L204" s="93"/>
    </row>
    <row r="205" spans="1:12" ht="16">
      <c r="A205" s="154"/>
      <c r="B205" s="155"/>
      <c r="C205" s="93"/>
    </row>
    <row r="206" spans="1:12" ht="16">
      <c r="A206" s="154"/>
      <c r="B206" s="155"/>
      <c r="C206" s="93"/>
    </row>
    <row r="207" spans="1:12" ht="16">
      <c r="A207" s="154"/>
      <c r="B207" s="155"/>
      <c r="C207" s="93"/>
    </row>
    <row r="208" spans="1:12" ht="16">
      <c r="A208" s="154"/>
      <c r="B208" s="155"/>
      <c r="C208" s="93"/>
    </row>
    <row r="209" spans="1:3" ht="16">
      <c r="A209" s="154"/>
      <c r="B209" s="155"/>
      <c r="C209" s="93"/>
    </row>
    <row r="210" spans="1:3" ht="16">
      <c r="A210" s="154"/>
      <c r="B210" s="155"/>
      <c r="C210" s="93"/>
    </row>
    <row r="211" spans="1:3" ht="16">
      <c r="A211" s="154"/>
      <c r="B211" s="155"/>
      <c r="C211" s="93"/>
    </row>
    <row r="212" spans="1:3" ht="16">
      <c r="A212" s="154"/>
      <c r="B212" s="155"/>
      <c r="C212" s="93"/>
    </row>
    <row r="213" spans="1:3" ht="16">
      <c r="A213" s="154"/>
      <c r="B213" s="155"/>
      <c r="C213" s="93"/>
    </row>
    <row r="214" spans="1:3" ht="16">
      <c r="A214" s="154"/>
      <c r="B214" s="155"/>
      <c r="C214" s="93"/>
    </row>
    <row r="215" spans="1:3" ht="16">
      <c r="A215" s="154"/>
      <c r="B215" s="155"/>
      <c r="C215" s="93"/>
    </row>
    <row r="216" spans="1:3" ht="16">
      <c r="A216" s="154"/>
      <c r="B216" s="155"/>
      <c r="C216" s="93"/>
    </row>
    <row r="217" spans="1:3" ht="16">
      <c r="A217" s="154"/>
      <c r="B217" s="155"/>
      <c r="C217" s="93"/>
    </row>
    <row r="218" spans="1:3" ht="16">
      <c r="A218" s="154"/>
      <c r="B218" s="155"/>
      <c r="C218" s="93"/>
    </row>
    <row r="219" spans="1:3" ht="16">
      <c r="A219" s="154"/>
      <c r="B219" s="155"/>
      <c r="C219" s="93"/>
    </row>
    <row r="220" spans="1:3" ht="16">
      <c r="A220" s="154"/>
      <c r="B220" s="155"/>
      <c r="C220" s="93"/>
    </row>
    <row r="221" spans="1:3" ht="16">
      <c r="A221" s="154"/>
      <c r="B221" s="155"/>
      <c r="C221" s="93"/>
    </row>
    <row r="222" spans="1:3" ht="16">
      <c r="A222" s="154"/>
      <c r="B222" s="155"/>
      <c r="C222" s="93"/>
    </row>
    <row r="223" spans="1:3" ht="16">
      <c r="A223" s="154"/>
      <c r="B223" s="155"/>
      <c r="C223" s="93"/>
    </row>
    <row r="224" spans="1:3" ht="16">
      <c r="A224" s="154"/>
      <c r="B224" s="155"/>
      <c r="C224" s="93"/>
    </row>
    <row r="225" spans="1:3" ht="16">
      <c r="A225" s="154"/>
      <c r="B225" s="155"/>
      <c r="C225" s="93"/>
    </row>
    <row r="226" spans="1:3" ht="16">
      <c r="A226" s="154"/>
      <c r="B226" s="155"/>
      <c r="C226" s="93"/>
    </row>
    <row r="227" spans="1:3" ht="16">
      <c r="A227" s="154"/>
      <c r="B227" s="155"/>
      <c r="C227" s="93"/>
    </row>
    <row r="228" spans="1:3" ht="16">
      <c r="A228" s="154"/>
      <c r="B228" s="155"/>
      <c r="C228" s="93"/>
    </row>
    <row r="229" spans="1:3" ht="16">
      <c r="A229" s="154"/>
      <c r="B229" s="155"/>
      <c r="C229" s="93"/>
    </row>
    <row r="230" spans="1:3" ht="16">
      <c r="A230" s="154"/>
      <c r="B230" s="155"/>
      <c r="C230" s="93"/>
    </row>
    <row r="231" spans="1:3" ht="16">
      <c r="A231" s="154"/>
      <c r="B231" s="155"/>
      <c r="C231" s="93"/>
    </row>
    <row r="232" spans="1:3" ht="16">
      <c r="A232" s="154"/>
      <c r="B232" s="155"/>
      <c r="C232" s="93"/>
    </row>
    <row r="233" spans="1:3" ht="16">
      <c r="A233" s="154"/>
      <c r="B233" s="155"/>
      <c r="C233" s="93"/>
    </row>
    <row r="234" spans="1:3" ht="16">
      <c r="A234" s="154"/>
      <c r="B234" s="155"/>
      <c r="C234" s="93"/>
    </row>
    <row r="235" spans="1:3" ht="16">
      <c r="A235" s="154"/>
      <c r="B235" s="155"/>
      <c r="C235" s="93"/>
    </row>
    <row r="236" spans="1:3" ht="16">
      <c r="A236" s="154"/>
      <c r="B236" s="155"/>
      <c r="C236" s="93"/>
    </row>
    <row r="237" spans="1:3" ht="16">
      <c r="A237" s="154"/>
      <c r="B237" s="155"/>
      <c r="C237" s="93"/>
    </row>
    <row r="238" spans="1:3" ht="16">
      <c r="A238" s="154"/>
      <c r="B238" s="155"/>
      <c r="C238" s="93"/>
    </row>
    <row r="239" spans="1:3" ht="16">
      <c r="A239" s="154"/>
      <c r="B239" s="155"/>
      <c r="C239" s="93"/>
    </row>
    <row r="240" spans="1:3" ht="16">
      <c r="A240" s="154"/>
      <c r="B240" s="155"/>
      <c r="C240" s="93"/>
    </row>
    <row r="241" spans="1:3" ht="16">
      <c r="A241" s="154"/>
      <c r="B241" s="155"/>
      <c r="C241" s="93"/>
    </row>
    <row r="242" spans="1:3" ht="16">
      <c r="A242" s="154"/>
      <c r="B242" s="155"/>
      <c r="C242" s="93"/>
    </row>
    <row r="243" spans="1:3" ht="16">
      <c r="A243" s="154"/>
      <c r="B243" s="155"/>
      <c r="C243" s="93"/>
    </row>
    <row r="244" spans="1:3" ht="16">
      <c r="A244" s="154"/>
      <c r="B244" s="155"/>
      <c r="C244" s="93"/>
    </row>
    <row r="245" spans="1:3" ht="16">
      <c r="A245" s="154"/>
      <c r="B245" s="155"/>
      <c r="C245" s="93"/>
    </row>
    <row r="246" spans="1:3" ht="16">
      <c r="A246" s="154"/>
      <c r="B246" s="155"/>
      <c r="C246" s="93"/>
    </row>
    <row r="247" spans="1:3" ht="16">
      <c r="A247" s="154"/>
      <c r="B247" s="155"/>
      <c r="C247" s="93"/>
    </row>
    <row r="248" spans="1:3" ht="16">
      <c r="A248" s="154"/>
      <c r="B248" s="155"/>
      <c r="C248" s="93"/>
    </row>
    <row r="249" spans="1:3" ht="16">
      <c r="A249" s="154"/>
      <c r="B249" s="155"/>
      <c r="C249" s="93"/>
    </row>
    <row r="250" spans="1:3" ht="16">
      <c r="A250" s="154"/>
      <c r="B250" s="155"/>
      <c r="C250" s="93"/>
    </row>
    <row r="251" spans="1:3" ht="16">
      <c r="A251" s="154"/>
      <c r="B251" s="155"/>
      <c r="C251" s="93"/>
    </row>
    <row r="252" spans="1:3" ht="16">
      <c r="A252" s="154"/>
      <c r="B252" s="155"/>
      <c r="C252" s="93"/>
    </row>
    <row r="253" spans="1:3" ht="16">
      <c r="A253" s="154"/>
      <c r="B253" s="155"/>
      <c r="C253" s="93"/>
    </row>
    <row r="254" spans="1:3" ht="16">
      <c r="A254" s="154"/>
      <c r="B254" s="155"/>
      <c r="C254" s="93"/>
    </row>
    <row r="255" spans="1:3" ht="16">
      <c r="A255" s="154"/>
      <c r="B255" s="155"/>
      <c r="C255" s="93"/>
    </row>
    <row r="256" spans="1:3" ht="16">
      <c r="A256" s="154"/>
      <c r="B256" s="155"/>
      <c r="C256" s="93"/>
    </row>
    <row r="257" spans="1:3" ht="16">
      <c r="A257" s="154"/>
      <c r="B257" s="155"/>
      <c r="C257" s="93"/>
    </row>
    <row r="258" spans="1:3" ht="16">
      <c r="A258" s="154"/>
      <c r="B258" s="155"/>
      <c r="C258" s="93"/>
    </row>
    <row r="259" spans="1:3" ht="16">
      <c r="A259" s="154"/>
      <c r="B259" s="155"/>
      <c r="C259" s="93"/>
    </row>
    <row r="260" spans="1:3" ht="16">
      <c r="A260" s="154"/>
      <c r="B260" s="155"/>
      <c r="C260" s="93"/>
    </row>
    <row r="261" spans="1:3" ht="16">
      <c r="A261" s="154"/>
      <c r="B261" s="155"/>
      <c r="C261" s="93"/>
    </row>
    <row r="262" spans="1:3" ht="16">
      <c r="A262" s="154"/>
      <c r="B262" s="155"/>
      <c r="C262" s="93"/>
    </row>
    <row r="263" spans="1:3" ht="16">
      <c r="A263" s="154"/>
      <c r="B263" s="155"/>
      <c r="C263" s="93"/>
    </row>
    <row r="264" spans="1:3" ht="16">
      <c r="A264" s="154"/>
      <c r="B264" s="155"/>
      <c r="C264" s="93"/>
    </row>
    <row r="265" spans="1:3" ht="16">
      <c r="A265" s="154"/>
      <c r="B265" s="155"/>
      <c r="C265" s="93"/>
    </row>
    <row r="266" spans="1:3" ht="16">
      <c r="A266" s="154"/>
      <c r="B266" s="155"/>
      <c r="C266" s="93"/>
    </row>
    <row r="267" spans="1:3" ht="16">
      <c r="A267" s="154"/>
      <c r="B267" s="155"/>
      <c r="C267" s="93"/>
    </row>
    <row r="268" spans="1:3" ht="16">
      <c r="A268" s="154"/>
      <c r="B268" s="155"/>
      <c r="C268" s="93"/>
    </row>
    <row r="269" spans="1:3" ht="16">
      <c r="A269" s="154"/>
      <c r="B269" s="155"/>
      <c r="C269" s="93"/>
    </row>
    <row r="270" spans="1:3" ht="16">
      <c r="A270" s="154"/>
      <c r="B270" s="155"/>
      <c r="C270" s="93"/>
    </row>
    <row r="271" spans="1:3" ht="16">
      <c r="A271" s="154"/>
      <c r="B271" s="155"/>
      <c r="C271" s="93"/>
    </row>
    <row r="272" spans="1:3" ht="16">
      <c r="A272" s="154"/>
      <c r="B272" s="155"/>
      <c r="C272" s="93"/>
    </row>
    <row r="273" spans="1:3" ht="16">
      <c r="A273" s="154"/>
      <c r="B273" s="155"/>
      <c r="C273" s="93"/>
    </row>
    <row r="274" spans="1:3" ht="16">
      <c r="A274" s="154"/>
      <c r="B274" s="155"/>
      <c r="C274" s="93"/>
    </row>
    <row r="275" spans="1:3" ht="16">
      <c r="A275" s="154"/>
      <c r="B275" s="155"/>
      <c r="C275" s="93"/>
    </row>
    <row r="276" spans="1:3" ht="16">
      <c r="A276" s="154"/>
      <c r="B276" s="155"/>
      <c r="C276" s="93"/>
    </row>
    <row r="277" spans="1:3" ht="16">
      <c r="A277" s="154"/>
      <c r="B277" s="155"/>
      <c r="C277" s="93"/>
    </row>
    <row r="278" spans="1:3" ht="16">
      <c r="A278" s="154"/>
      <c r="B278" s="155"/>
      <c r="C278" s="93"/>
    </row>
    <row r="279" spans="1:3" ht="16">
      <c r="A279" s="154"/>
      <c r="B279" s="155"/>
      <c r="C279" s="93"/>
    </row>
    <row r="280" spans="1:3" ht="16">
      <c r="A280" s="154"/>
      <c r="B280" s="155"/>
      <c r="C280" s="93"/>
    </row>
    <row r="281" spans="1:3" ht="16">
      <c r="A281" s="154"/>
      <c r="B281" s="155"/>
      <c r="C281" s="93"/>
    </row>
    <row r="282" spans="1:3" ht="16">
      <c r="A282" s="154"/>
      <c r="B282" s="155"/>
      <c r="C282" s="93"/>
    </row>
    <row r="283" spans="1:3" ht="16">
      <c r="A283" s="154"/>
      <c r="B283" s="155"/>
      <c r="C283" s="93"/>
    </row>
    <row r="284" spans="1:3" ht="16">
      <c r="A284" s="154"/>
      <c r="B284" s="155"/>
      <c r="C284" s="93"/>
    </row>
    <row r="285" spans="1:3" ht="16">
      <c r="A285" s="154"/>
      <c r="B285" s="155"/>
      <c r="C285" s="93"/>
    </row>
    <row r="286" spans="1:3" ht="16">
      <c r="A286" s="154"/>
      <c r="B286" s="155"/>
      <c r="C286" s="93"/>
    </row>
    <row r="287" spans="1:3" ht="16">
      <c r="A287" s="154"/>
      <c r="B287" s="155"/>
      <c r="C287" s="93"/>
    </row>
    <row r="288" spans="1:3" ht="16">
      <c r="A288" s="154"/>
      <c r="B288" s="155"/>
      <c r="C288" s="93"/>
    </row>
    <row r="289" spans="1:3" ht="16">
      <c r="A289" s="154"/>
      <c r="B289" s="155"/>
      <c r="C289" s="93"/>
    </row>
    <row r="290" spans="1:3" ht="16">
      <c r="A290" s="154"/>
      <c r="B290" s="155"/>
      <c r="C290" s="93"/>
    </row>
    <row r="291" spans="1:3" ht="16">
      <c r="A291" s="154"/>
      <c r="B291" s="155"/>
      <c r="C291" s="93"/>
    </row>
    <row r="292" spans="1:3" ht="16">
      <c r="A292" s="154"/>
      <c r="B292" s="155"/>
      <c r="C292" s="93"/>
    </row>
    <row r="293" spans="1:3" ht="16">
      <c r="A293" s="154"/>
      <c r="B293" s="155"/>
      <c r="C293" s="93"/>
    </row>
    <row r="294" spans="1:3" ht="16">
      <c r="A294" s="154"/>
      <c r="B294" s="155"/>
      <c r="C294" s="93"/>
    </row>
    <row r="295" spans="1:3" ht="16">
      <c r="A295" s="154"/>
      <c r="B295" s="155"/>
      <c r="C295" s="93"/>
    </row>
    <row r="296" spans="1:3" ht="16">
      <c r="A296" s="154"/>
      <c r="B296" s="155"/>
      <c r="C296" s="93"/>
    </row>
    <row r="297" spans="1:3" ht="16">
      <c r="A297" s="154"/>
      <c r="B297" s="155"/>
      <c r="C297" s="93"/>
    </row>
    <row r="298" spans="1:3" ht="16">
      <c r="A298" s="154"/>
      <c r="B298" s="155"/>
      <c r="C298" s="93"/>
    </row>
    <row r="299" spans="1:3" ht="16">
      <c r="A299" s="154"/>
      <c r="B299" s="155"/>
      <c r="C299" s="93"/>
    </row>
    <row r="300" spans="1:3" ht="16">
      <c r="A300" s="154"/>
      <c r="B300" s="155"/>
      <c r="C300" s="93"/>
    </row>
    <row r="301" spans="1:3" ht="16">
      <c r="A301" s="154"/>
      <c r="B301" s="155"/>
      <c r="C301" s="93"/>
    </row>
    <row r="302" spans="1:3" ht="16">
      <c r="A302" s="154"/>
      <c r="B302" s="155"/>
      <c r="C302" s="93"/>
    </row>
    <row r="303" spans="1:3" ht="16">
      <c r="A303" s="154"/>
      <c r="B303" s="155"/>
      <c r="C303" s="93"/>
    </row>
    <row r="304" spans="1:3" ht="16">
      <c r="A304" s="154"/>
      <c r="B304" s="155"/>
      <c r="C304" s="93"/>
    </row>
    <row r="305" spans="1:3" ht="16">
      <c r="A305" s="154"/>
      <c r="B305" s="155"/>
      <c r="C305" s="93"/>
    </row>
    <row r="306" spans="1:3" ht="16">
      <c r="A306" s="154"/>
      <c r="B306" s="155"/>
      <c r="C306" s="93"/>
    </row>
    <row r="307" spans="1:3" ht="16">
      <c r="A307" s="154"/>
      <c r="B307" s="155"/>
      <c r="C307" s="93"/>
    </row>
    <row r="308" spans="1:3" ht="16">
      <c r="A308" s="154"/>
      <c r="B308" s="155"/>
      <c r="C308" s="93"/>
    </row>
    <row r="309" spans="1:3" ht="16">
      <c r="A309" s="154"/>
      <c r="B309" s="155"/>
      <c r="C309" s="93"/>
    </row>
    <row r="310" spans="1:3" ht="16">
      <c r="A310" s="154"/>
      <c r="B310" s="155"/>
      <c r="C310" s="93"/>
    </row>
    <row r="311" spans="1:3" ht="16">
      <c r="A311" s="154"/>
      <c r="B311" s="155"/>
      <c r="C311" s="93"/>
    </row>
    <row r="312" spans="1:3" ht="16">
      <c r="A312" s="154"/>
      <c r="B312" s="155"/>
      <c r="C312" s="93"/>
    </row>
    <row r="313" spans="1:3" ht="16">
      <c r="A313" s="154"/>
      <c r="B313" s="155"/>
      <c r="C313" s="93"/>
    </row>
    <row r="314" spans="1:3" ht="16">
      <c r="A314" s="154"/>
      <c r="B314" s="155"/>
      <c r="C314" s="93"/>
    </row>
    <row r="315" spans="1:3" ht="16">
      <c r="A315" s="154"/>
      <c r="B315" s="155"/>
      <c r="C315" s="93"/>
    </row>
    <row r="316" spans="1:3" ht="16">
      <c r="A316" s="154"/>
      <c r="B316" s="155"/>
      <c r="C316" s="93"/>
    </row>
    <row r="317" spans="1:3" ht="16">
      <c r="A317" s="154"/>
      <c r="B317" s="155"/>
      <c r="C317" s="93"/>
    </row>
    <row r="318" spans="1:3" ht="16">
      <c r="A318" s="154"/>
      <c r="B318" s="155"/>
      <c r="C318" s="93"/>
    </row>
    <row r="319" spans="1:3" ht="16">
      <c r="A319" s="154"/>
      <c r="B319" s="155"/>
      <c r="C319" s="93"/>
    </row>
    <row r="320" spans="1:3" ht="16">
      <c r="A320" s="154"/>
      <c r="B320" s="155"/>
      <c r="C320" s="93"/>
    </row>
    <row r="321" spans="1:3" ht="16">
      <c r="A321" s="154"/>
      <c r="B321" s="155"/>
      <c r="C321" s="93"/>
    </row>
    <row r="322" spans="1:3" ht="16">
      <c r="A322" s="154"/>
      <c r="B322" s="155"/>
      <c r="C322" s="93"/>
    </row>
    <row r="323" spans="1:3" ht="16">
      <c r="A323" s="154"/>
      <c r="B323" s="155"/>
      <c r="C323" s="93"/>
    </row>
    <row r="324" spans="1:3" ht="16">
      <c r="A324" s="154"/>
      <c r="B324" s="155"/>
      <c r="C324" s="93"/>
    </row>
    <row r="325" spans="1:3" ht="16">
      <c r="A325" s="154"/>
      <c r="B325" s="155"/>
      <c r="C325" s="93"/>
    </row>
    <row r="326" spans="1:3" ht="16">
      <c r="A326" s="154"/>
      <c r="B326" s="155"/>
      <c r="C326" s="93"/>
    </row>
    <row r="327" spans="1:3" ht="16">
      <c r="A327" s="154"/>
      <c r="B327" s="155"/>
      <c r="C327" s="93"/>
    </row>
    <row r="328" spans="1:3" ht="16">
      <c r="A328" s="154"/>
      <c r="B328" s="155"/>
      <c r="C328" s="93"/>
    </row>
    <row r="329" spans="1:3" ht="16">
      <c r="A329" s="154"/>
      <c r="B329" s="155"/>
      <c r="C329" s="93"/>
    </row>
    <row r="330" spans="1:3" ht="16">
      <c r="A330" s="154"/>
      <c r="B330" s="155"/>
      <c r="C330" s="93"/>
    </row>
    <row r="331" spans="1:3" ht="16">
      <c r="A331" s="154"/>
      <c r="B331" s="155"/>
      <c r="C331" s="93"/>
    </row>
    <row r="332" spans="1:3" ht="16">
      <c r="A332" s="154"/>
      <c r="B332" s="155"/>
      <c r="C332" s="93"/>
    </row>
    <row r="333" spans="1:3" ht="16">
      <c r="A333" s="154"/>
      <c r="B333" s="155"/>
      <c r="C333" s="93"/>
    </row>
    <row r="334" spans="1:3" ht="16">
      <c r="A334" s="154"/>
      <c r="B334" s="155"/>
      <c r="C334" s="93"/>
    </row>
    <row r="335" spans="1:3" ht="16">
      <c r="A335" s="154"/>
      <c r="B335" s="155"/>
      <c r="C335" s="93"/>
    </row>
    <row r="336" spans="1:3" ht="16">
      <c r="A336" s="154"/>
      <c r="B336" s="155"/>
      <c r="C336" s="93"/>
    </row>
    <row r="337" spans="1:3" ht="16">
      <c r="A337" s="154"/>
      <c r="B337" s="155"/>
      <c r="C337" s="93"/>
    </row>
    <row r="338" spans="1:3" ht="16">
      <c r="A338" s="154"/>
      <c r="B338" s="155"/>
      <c r="C338" s="93"/>
    </row>
    <row r="339" spans="1:3" ht="16">
      <c r="A339" s="154"/>
      <c r="B339" s="155"/>
      <c r="C339" s="93"/>
    </row>
    <row r="340" spans="1:3" ht="16">
      <c r="A340" s="154"/>
      <c r="B340" s="155"/>
      <c r="C340" s="93"/>
    </row>
    <row r="341" spans="1:3" ht="16">
      <c r="A341" s="154"/>
      <c r="B341" s="155"/>
      <c r="C341" s="93"/>
    </row>
    <row r="342" spans="1:3" ht="16">
      <c r="A342" s="154"/>
      <c r="B342" s="155"/>
      <c r="C342" s="93"/>
    </row>
    <row r="343" spans="1:3" ht="16">
      <c r="A343" s="154"/>
      <c r="B343" s="155"/>
      <c r="C343" s="93"/>
    </row>
    <row r="344" spans="1:3" ht="16">
      <c r="A344" s="154"/>
      <c r="B344" s="155"/>
      <c r="C344" s="93"/>
    </row>
    <row r="345" spans="1:3" ht="16">
      <c r="A345" s="154"/>
      <c r="B345" s="155"/>
      <c r="C345" s="93"/>
    </row>
    <row r="346" spans="1:3" ht="16">
      <c r="A346" s="154"/>
      <c r="B346" s="155"/>
      <c r="C346" s="93"/>
    </row>
    <row r="347" spans="1:3" ht="16">
      <c r="A347" s="154"/>
      <c r="B347" s="155"/>
      <c r="C347" s="93"/>
    </row>
    <row r="348" spans="1:3" ht="16">
      <c r="A348" s="154"/>
      <c r="B348" s="155"/>
      <c r="C348" s="93"/>
    </row>
    <row r="349" spans="1:3" ht="16">
      <c r="A349" s="154"/>
      <c r="B349" s="155"/>
      <c r="C349" s="93"/>
    </row>
    <row r="350" spans="1:3" ht="16">
      <c r="A350" s="154"/>
      <c r="B350" s="155"/>
      <c r="C350" s="93"/>
    </row>
    <row r="351" spans="1:3" ht="16">
      <c r="A351" s="154"/>
      <c r="B351" s="155"/>
      <c r="C351" s="93"/>
    </row>
    <row r="352" spans="1:3" ht="16">
      <c r="A352" s="154"/>
      <c r="B352" s="155"/>
      <c r="C352" s="93"/>
    </row>
    <row r="353" spans="1:3" ht="16">
      <c r="A353" s="154"/>
      <c r="B353" s="155"/>
      <c r="C353" s="93"/>
    </row>
    <row r="354" spans="1:3" ht="16">
      <c r="A354" s="154"/>
      <c r="B354" s="155"/>
      <c r="C354" s="93"/>
    </row>
    <row r="355" spans="1:3" ht="16">
      <c r="A355" s="154"/>
      <c r="B355" s="155"/>
      <c r="C355" s="93"/>
    </row>
    <row r="356" spans="1:3" ht="16">
      <c r="A356" s="154"/>
      <c r="B356" s="155"/>
      <c r="C356" s="93"/>
    </row>
    <row r="357" spans="1:3" ht="16">
      <c r="A357" s="154"/>
      <c r="B357" s="155"/>
      <c r="C357" s="93"/>
    </row>
    <row r="358" spans="1:3" ht="16">
      <c r="A358" s="154"/>
      <c r="B358" s="155"/>
      <c r="C358" s="93"/>
    </row>
    <row r="359" spans="1:3" ht="16">
      <c r="A359" s="154"/>
      <c r="B359" s="155"/>
      <c r="C359" s="93"/>
    </row>
    <row r="360" spans="1:3" ht="16">
      <c r="A360" s="154"/>
      <c r="B360" s="155"/>
      <c r="C360" s="93"/>
    </row>
    <row r="361" spans="1:3" ht="16">
      <c r="A361" s="154"/>
      <c r="B361" s="155"/>
      <c r="C361" s="93"/>
    </row>
    <row r="362" spans="1:3" ht="16">
      <c r="A362" s="154"/>
      <c r="B362" s="155"/>
      <c r="C362" s="93"/>
    </row>
    <row r="363" spans="1:3" ht="16">
      <c r="A363" s="154"/>
      <c r="B363" s="155"/>
      <c r="C363" s="93"/>
    </row>
    <row r="364" spans="1:3" ht="16">
      <c r="A364" s="154"/>
      <c r="B364" s="155"/>
      <c r="C364" s="93"/>
    </row>
    <row r="365" spans="1:3" ht="16">
      <c r="A365" s="154"/>
      <c r="B365" s="155"/>
      <c r="C365" s="93"/>
    </row>
    <row r="366" spans="1:3" ht="16">
      <c r="A366" s="154"/>
      <c r="B366" s="155"/>
      <c r="C366" s="93"/>
    </row>
    <row r="367" spans="1:3" ht="16">
      <c r="A367" s="154"/>
      <c r="B367" s="155"/>
      <c r="C367" s="93"/>
    </row>
    <row r="368" spans="1:3" ht="16">
      <c r="A368" s="154"/>
      <c r="B368" s="155"/>
      <c r="C368" s="93"/>
    </row>
    <row r="369" spans="1:3" ht="16">
      <c r="A369" s="154"/>
      <c r="B369" s="155"/>
      <c r="C369" s="93"/>
    </row>
    <row r="370" spans="1:3" ht="16">
      <c r="A370" s="154"/>
      <c r="B370" s="155"/>
      <c r="C370" s="93"/>
    </row>
    <row r="371" spans="1:3" ht="16">
      <c r="A371" s="154"/>
      <c r="B371" s="155"/>
      <c r="C371" s="93"/>
    </row>
    <row r="372" spans="1:3" ht="16">
      <c r="A372" s="154"/>
      <c r="B372" s="155"/>
      <c r="C372" s="93"/>
    </row>
    <row r="373" spans="1:3" ht="16">
      <c r="A373" s="154"/>
      <c r="B373" s="155"/>
      <c r="C373" s="93"/>
    </row>
    <row r="374" spans="1:3" ht="16">
      <c r="A374" s="154"/>
      <c r="B374" s="155"/>
      <c r="C374" s="93"/>
    </row>
    <row r="375" spans="1:3" ht="16">
      <c r="A375" s="154"/>
      <c r="B375" s="155"/>
      <c r="C375" s="93"/>
    </row>
    <row r="376" spans="1:3" ht="16">
      <c r="A376" s="154"/>
      <c r="B376" s="155"/>
      <c r="C376" s="93"/>
    </row>
    <row r="377" spans="1:3" ht="16">
      <c r="A377" s="154"/>
      <c r="B377" s="155"/>
      <c r="C377" s="93"/>
    </row>
    <row r="378" spans="1:3" ht="16">
      <c r="A378" s="154"/>
      <c r="B378" s="155"/>
      <c r="C378" s="93"/>
    </row>
    <row r="379" spans="1:3" ht="16">
      <c r="A379" s="154"/>
      <c r="B379" s="155"/>
      <c r="C379" s="93"/>
    </row>
    <row r="380" spans="1:3" ht="16">
      <c r="A380" s="154"/>
      <c r="B380" s="155"/>
      <c r="C380" s="93"/>
    </row>
    <row r="381" spans="1:3" ht="16">
      <c r="A381" s="154"/>
      <c r="B381" s="155"/>
      <c r="C381" s="93"/>
    </row>
    <row r="382" spans="1:3" ht="16">
      <c r="A382" s="154"/>
      <c r="B382" s="155"/>
      <c r="C382" s="93"/>
    </row>
    <row r="383" spans="1:3" ht="16">
      <c r="A383" s="154"/>
      <c r="B383" s="155"/>
      <c r="C383" s="93"/>
    </row>
    <row r="384" spans="1:3" ht="16">
      <c r="A384" s="154"/>
      <c r="B384" s="155"/>
      <c r="C384" s="93"/>
    </row>
    <row r="385" spans="1:3" ht="16">
      <c r="A385" s="154"/>
      <c r="B385" s="155"/>
      <c r="C385" s="93"/>
    </row>
    <row r="386" spans="1:3" ht="16">
      <c r="A386" s="154"/>
      <c r="B386" s="155"/>
      <c r="C386" s="93"/>
    </row>
    <row r="387" spans="1:3" ht="16">
      <c r="A387" s="154"/>
      <c r="B387" s="155"/>
      <c r="C387" s="93"/>
    </row>
    <row r="388" spans="1:3" ht="16">
      <c r="A388" s="154"/>
      <c r="B388" s="155"/>
      <c r="C388" s="93"/>
    </row>
    <row r="389" spans="1:3" ht="16">
      <c r="A389" s="154"/>
      <c r="B389" s="155"/>
      <c r="C389" s="93"/>
    </row>
    <row r="390" spans="1:3" ht="16">
      <c r="A390" s="154"/>
      <c r="B390" s="155"/>
      <c r="C390" s="93"/>
    </row>
    <row r="391" spans="1:3" ht="16">
      <c r="A391" s="154"/>
      <c r="B391" s="155"/>
      <c r="C391" s="93"/>
    </row>
    <row r="392" spans="1:3" ht="16">
      <c r="A392" s="154"/>
      <c r="B392" s="155"/>
      <c r="C392" s="93"/>
    </row>
    <row r="393" spans="1:3" ht="16">
      <c r="A393" s="154"/>
      <c r="B393" s="155"/>
      <c r="C393" s="93"/>
    </row>
    <row r="394" spans="1:3" ht="16">
      <c r="A394" s="154"/>
      <c r="B394" s="155"/>
      <c r="C394" s="93"/>
    </row>
    <row r="395" spans="1:3" ht="16">
      <c r="A395" s="154"/>
      <c r="B395" s="155"/>
      <c r="C395" s="93"/>
    </row>
    <row r="396" spans="1:3" ht="16">
      <c r="A396" s="154"/>
      <c r="B396" s="155"/>
      <c r="C396" s="93"/>
    </row>
    <row r="397" spans="1:3" ht="16">
      <c r="A397" s="154"/>
      <c r="B397" s="155"/>
      <c r="C397" s="93"/>
    </row>
    <row r="398" spans="1:3" ht="16">
      <c r="A398" s="154"/>
      <c r="B398" s="155"/>
      <c r="C398" s="93"/>
    </row>
    <row r="399" spans="1:3" ht="16">
      <c r="A399" s="154"/>
      <c r="B399" s="155"/>
      <c r="C399" s="93"/>
    </row>
    <row r="400" spans="1:3" ht="16">
      <c r="A400" s="154"/>
      <c r="B400" s="155"/>
      <c r="C400" s="93"/>
    </row>
    <row r="401" spans="1:3" ht="16">
      <c r="A401" s="154"/>
      <c r="B401" s="155"/>
      <c r="C401" s="93"/>
    </row>
    <row r="402" spans="1:3" ht="16">
      <c r="A402" s="154"/>
      <c r="B402" s="155"/>
      <c r="C402" s="93"/>
    </row>
    <row r="403" spans="1:3" ht="16">
      <c r="A403" s="154"/>
      <c r="B403" s="155"/>
      <c r="C403" s="93"/>
    </row>
    <row r="404" spans="1:3" ht="16">
      <c r="A404" s="154"/>
      <c r="B404" s="155"/>
      <c r="C404" s="93"/>
    </row>
    <row r="405" spans="1:3" ht="16">
      <c r="A405" s="154"/>
      <c r="B405" s="155"/>
      <c r="C405" s="93"/>
    </row>
    <row r="406" spans="1:3" ht="16">
      <c r="A406" s="154"/>
      <c r="B406" s="155"/>
      <c r="C406" s="93"/>
    </row>
    <row r="407" spans="1:3" ht="16">
      <c r="A407" s="154"/>
      <c r="B407" s="155"/>
      <c r="C407" s="93"/>
    </row>
    <row r="408" spans="1:3" ht="16">
      <c r="A408" s="154"/>
      <c r="B408" s="155"/>
      <c r="C408" s="93"/>
    </row>
    <row r="409" spans="1:3" ht="16">
      <c r="A409" s="154"/>
      <c r="B409" s="155"/>
      <c r="C409" s="93"/>
    </row>
    <row r="410" spans="1:3" ht="16">
      <c r="A410" s="154"/>
      <c r="B410" s="155"/>
      <c r="C410" s="93"/>
    </row>
    <row r="411" spans="1:3" ht="16">
      <c r="A411" s="154"/>
      <c r="B411" s="155"/>
      <c r="C411" s="93"/>
    </row>
    <row r="412" spans="1:3" ht="16">
      <c r="A412" s="154"/>
      <c r="B412" s="155"/>
      <c r="C412" s="93"/>
    </row>
    <row r="413" spans="1:3" ht="16">
      <c r="A413" s="154"/>
      <c r="B413" s="155"/>
      <c r="C413" s="93"/>
    </row>
    <row r="414" spans="1:3" ht="16">
      <c r="A414" s="154"/>
      <c r="B414" s="155"/>
      <c r="C414" s="93"/>
    </row>
    <row r="415" spans="1:3" ht="16">
      <c r="A415" s="154"/>
      <c r="B415" s="155"/>
      <c r="C415" s="93"/>
    </row>
    <row r="416" spans="1:3" ht="16">
      <c r="A416" s="154"/>
      <c r="B416" s="155"/>
      <c r="C416" s="93"/>
    </row>
    <row r="417" spans="1:3" ht="16">
      <c r="A417" s="154"/>
      <c r="B417" s="155"/>
      <c r="C417" s="93"/>
    </row>
    <row r="418" spans="1:3" ht="16">
      <c r="A418" s="154"/>
      <c r="B418" s="155"/>
      <c r="C418" s="93"/>
    </row>
    <row r="419" spans="1:3" ht="16">
      <c r="A419" s="154"/>
      <c r="B419" s="155"/>
      <c r="C419" s="93"/>
    </row>
    <row r="420" spans="1:3" ht="16">
      <c r="A420" s="154"/>
      <c r="B420" s="155"/>
      <c r="C420" s="93"/>
    </row>
    <row r="421" spans="1:3" ht="16">
      <c r="A421" s="154"/>
      <c r="B421" s="155"/>
      <c r="C421" s="93"/>
    </row>
    <row r="422" spans="1:3" ht="16">
      <c r="A422" s="154"/>
      <c r="B422" s="155"/>
      <c r="C422" s="93"/>
    </row>
    <row r="423" spans="1:3" ht="16">
      <c r="A423" s="154"/>
      <c r="B423" s="155"/>
      <c r="C423" s="93"/>
    </row>
    <row r="424" spans="1:3" ht="16">
      <c r="A424" s="154"/>
      <c r="B424" s="155"/>
      <c r="C424" s="93"/>
    </row>
    <row r="425" spans="1:3" ht="16">
      <c r="A425" s="154"/>
      <c r="B425" s="155"/>
      <c r="C425" s="93"/>
    </row>
    <row r="426" spans="1:3" ht="16">
      <c r="A426" s="154"/>
      <c r="B426" s="155"/>
      <c r="C426" s="93"/>
    </row>
    <row r="427" spans="1:3" ht="16">
      <c r="A427" s="154"/>
      <c r="B427" s="155"/>
      <c r="C427" s="93"/>
    </row>
    <row r="428" spans="1:3" ht="16">
      <c r="A428" s="154"/>
      <c r="B428" s="155"/>
      <c r="C428" s="93"/>
    </row>
    <row r="429" spans="1:3" ht="16">
      <c r="A429" s="154"/>
      <c r="B429" s="155"/>
      <c r="C429" s="93"/>
    </row>
    <row r="430" spans="1:3" ht="16">
      <c r="A430" s="154"/>
      <c r="B430" s="155"/>
      <c r="C430" s="93"/>
    </row>
    <row r="431" spans="1:3" ht="16">
      <c r="A431" s="154"/>
      <c r="B431" s="155"/>
      <c r="C431" s="93"/>
    </row>
    <row r="432" spans="1:3" ht="16">
      <c r="A432" s="154"/>
      <c r="B432" s="155"/>
      <c r="C432" s="93"/>
    </row>
    <row r="433" spans="1:3" ht="16">
      <c r="A433" s="154"/>
      <c r="B433" s="155"/>
      <c r="C433" s="93"/>
    </row>
    <row r="434" spans="1:3" ht="16">
      <c r="A434" s="154"/>
      <c r="B434" s="155"/>
      <c r="C434" s="93"/>
    </row>
    <row r="435" spans="1:3" ht="16">
      <c r="A435" s="154"/>
      <c r="B435" s="155"/>
      <c r="C435" s="93"/>
    </row>
    <row r="436" spans="1:3" ht="16">
      <c r="A436" s="154"/>
      <c r="B436" s="155"/>
      <c r="C436" s="93"/>
    </row>
    <row r="437" spans="1:3" ht="16">
      <c r="A437" s="154"/>
      <c r="B437" s="155"/>
      <c r="C437" s="93"/>
    </row>
    <row r="438" spans="1:3" ht="16">
      <c r="A438" s="154"/>
      <c r="B438" s="155"/>
      <c r="C438" s="93"/>
    </row>
    <row r="439" spans="1:3" ht="16">
      <c r="A439" s="154"/>
      <c r="B439" s="155"/>
      <c r="C439" s="93"/>
    </row>
    <row r="440" spans="1:3" ht="16">
      <c r="A440" s="154"/>
      <c r="B440" s="155"/>
      <c r="C440" s="93"/>
    </row>
    <row r="441" spans="1:3" ht="16">
      <c r="A441" s="154"/>
      <c r="B441" s="155"/>
      <c r="C441" s="93"/>
    </row>
    <row r="442" spans="1:3" ht="16">
      <c r="A442" s="154"/>
      <c r="B442" s="155"/>
      <c r="C442" s="93"/>
    </row>
    <row r="443" spans="1:3" ht="16">
      <c r="A443" s="154"/>
      <c r="B443" s="155"/>
      <c r="C443" s="93"/>
    </row>
    <row r="444" spans="1:3" ht="16">
      <c r="A444" s="154"/>
      <c r="B444" s="155"/>
      <c r="C444" s="93"/>
    </row>
    <row r="445" spans="1:3" ht="16">
      <c r="A445" s="154"/>
      <c r="B445" s="155"/>
      <c r="C445" s="93"/>
    </row>
    <row r="446" spans="1:3" ht="16">
      <c r="A446" s="154"/>
      <c r="B446" s="155"/>
      <c r="C446" s="93"/>
    </row>
    <row r="447" spans="1:3" ht="16">
      <c r="A447" s="154"/>
      <c r="B447" s="155"/>
      <c r="C447" s="93"/>
    </row>
    <row r="448" spans="1:3" ht="16">
      <c r="A448" s="154"/>
      <c r="B448" s="155"/>
      <c r="C448" s="93"/>
    </row>
    <row r="449" spans="1:3" ht="16">
      <c r="A449" s="154"/>
      <c r="B449" s="155"/>
      <c r="C449" s="93"/>
    </row>
    <row r="450" spans="1:3" ht="16">
      <c r="A450" s="154"/>
      <c r="B450" s="155"/>
      <c r="C450" s="93"/>
    </row>
    <row r="451" spans="1:3" ht="16">
      <c r="A451" s="154"/>
      <c r="B451" s="155"/>
      <c r="C451" s="93"/>
    </row>
    <row r="452" spans="1:3" ht="16">
      <c r="A452" s="154"/>
      <c r="B452" s="155"/>
      <c r="C452" s="93"/>
    </row>
    <row r="453" spans="1:3" ht="16">
      <c r="A453" s="154"/>
      <c r="B453" s="155"/>
      <c r="C453" s="93"/>
    </row>
    <row r="454" spans="1:3" ht="16">
      <c r="A454" s="154"/>
      <c r="B454" s="155"/>
      <c r="C454" s="93"/>
    </row>
    <row r="455" spans="1:3" ht="16">
      <c r="A455" s="154"/>
      <c r="B455" s="155"/>
      <c r="C455" s="93"/>
    </row>
    <row r="456" spans="1:3" ht="16">
      <c r="A456" s="154"/>
      <c r="B456" s="155"/>
      <c r="C456" s="93"/>
    </row>
    <row r="457" spans="1:3" ht="16">
      <c r="A457" s="154"/>
      <c r="B457" s="155"/>
      <c r="C457" s="93"/>
    </row>
    <row r="458" spans="1:3" ht="16">
      <c r="A458" s="154"/>
      <c r="B458" s="155"/>
      <c r="C458" s="93"/>
    </row>
    <row r="459" spans="1:3" ht="16">
      <c r="A459" s="154"/>
      <c r="B459" s="155"/>
      <c r="C459" s="93"/>
    </row>
    <row r="460" spans="1:3" ht="16">
      <c r="A460" s="154"/>
      <c r="B460" s="155"/>
      <c r="C460" s="93"/>
    </row>
    <row r="461" spans="1:3" ht="16">
      <c r="A461" s="154"/>
      <c r="B461" s="155"/>
      <c r="C461" s="93"/>
    </row>
    <row r="462" spans="1:3" ht="16">
      <c r="A462" s="154"/>
      <c r="B462" s="155"/>
      <c r="C462" s="93"/>
    </row>
    <row r="463" spans="1:3" ht="16">
      <c r="A463" s="154"/>
      <c r="B463" s="155"/>
      <c r="C463" s="93"/>
    </row>
    <row r="464" spans="1:3" ht="16">
      <c r="A464" s="154"/>
      <c r="B464" s="155"/>
      <c r="C464" s="93"/>
    </row>
    <row r="465" spans="1:3" ht="16">
      <c r="A465" s="154"/>
      <c r="B465" s="155"/>
      <c r="C465" s="93"/>
    </row>
    <row r="466" spans="1:3" ht="16">
      <c r="A466" s="154"/>
      <c r="B466" s="155"/>
      <c r="C466" s="93"/>
    </row>
    <row r="467" spans="1:3" ht="16">
      <c r="A467" s="154"/>
      <c r="B467" s="155"/>
      <c r="C467" s="93"/>
    </row>
    <row r="468" spans="1:3" ht="16">
      <c r="A468" s="154"/>
      <c r="B468" s="155"/>
      <c r="C468" s="93"/>
    </row>
    <row r="469" spans="1:3" ht="16">
      <c r="A469" s="154"/>
      <c r="B469" s="155"/>
      <c r="C469" s="93"/>
    </row>
    <row r="470" spans="1:3" ht="16">
      <c r="A470" s="154"/>
      <c r="B470" s="155"/>
      <c r="C470" s="93"/>
    </row>
    <row r="471" spans="1:3" ht="16">
      <c r="A471" s="154"/>
      <c r="B471" s="155"/>
      <c r="C471" s="93"/>
    </row>
    <row r="472" spans="1:3" ht="16">
      <c r="A472" s="154"/>
      <c r="B472" s="155"/>
      <c r="C472" s="93"/>
    </row>
    <row r="473" spans="1:3" ht="16">
      <c r="A473" s="154"/>
      <c r="B473" s="155"/>
      <c r="C473" s="93"/>
    </row>
    <row r="474" spans="1:3" ht="16">
      <c r="A474" s="154"/>
      <c r="B474" s="155"/>
      <c r="C474" s="93"/>
    </row>
    <row r="475" spans="1:3" ht="16">
      <c r="A475" s="154"/>
      <c r="B475" s="155"/>
      <c r="C475" s="93"/>
    </row>
    <row r="476" spans="1:3" ht="16">
      <c r="A476" s="154"/>
      <c r="B476" s="155"/>
      <c r="C476" s="93"/>
    </row>
    <row r="477" spans="1:3" ht="16">
      <c r="A477" s="154"/>
      <c r="B477" s="155"/>
      <c r="C477" s="93"/>
    </row>
    <row r="478" spans="1:3" ht="16">
      <c r="A478" s="154"/>
      <c r="B478" s="155"/>
      <c r="C478" s="93"/>
    </row>
    <row r="479" spans="1:3" ht="16">
      <c r="A479" s="154"/>
      <c r="B479" s="155"/>
      <c r="C479" s="93"/>
    </row>
    <row r="480" spans="1:3" ht="16">
      <c r="A480" s="154"/>
      <c r="B480" s="155"/>
      <c r="C480" s="93"/>
    </row>
    <row r="481" spans="1:3" ht="16">
      <c r="A481" s="154"/>
      <c r="B481" s="155"/>
      <c r="C481" s="93"/>
    </row>
    <row r="482" spans="1:3" ht="16">
      <c r="A482" s="154"/>
      <c r="B482" s="155"/>
      <c r="C482" s="93"/>
    </row>
    <row r="483" spans="1:3" ht="16">
      <c r="A483" s="154"/>
      <c r="B483" s="155"/>
      <c r="C483" s="93"/>
    </row>
    <row r="484" spans="1:3" ht="16">
      <c r="A484" s="154"/>
      <c r="B484" s="155"/>
      <c r="C484" s="93"/>
    </row>
    <row r="485" spans="1:3" ht="16">
      <c r="A485" s="154"/>
      <c r="B485" s="155"/>
      <c r="C485" s="93"/>
    </row>
    <row r="486" spans="1:3" ht="16">
      <c r="A486" s="154"/>
      <c r="B486" s="155"/>
      <c r="C486" s="93"/>
    </row>
    <row r="487" spans="1:3" ht="16">
      <c r="A487" s="154"/>
      <c r="B487" s="155"/>
      <c r="C487" s="93"/>
    </row>
    <row r="488" spans="1:3" ht="16">
      <c r="A488" s="154"/>
      <c r="B488" s="155"/>
      <c r="C488" s="93"/>
    </row>
    <row r="489" spans="1:3" ht="16">
      <c r="A489" s="154"/>
      <c r="B489" s="155"/>
      <c r="C489" s="93"/>
    </row>
    <row r="490" spans="1:3" ht="16">
      <c r="A490" s="154"/>
      <c r="B490" s="155"/>
      <c r="C490" s="93"/>
    </row>
    <row r="491" spans="1:3" ht="16">
      <c r="A491" s="154"/>
      <c r="B491" s="155"/>
      <c r="C491" s="93"/>
    </row>
    <row r="492" spans="1:3" ht="16">
      <c r="A492" s="154"/>
      <c r="B492" s="155"/>
      <c r="C492" s="93"/>
    </row>
    <row r="493" spans="1:3" ht="16">
      <c r="A493" s="154"/>
      <c r="B493" s="155"/>
      <c r="C493" s="93"/>
    </row>
    <row r="494" spans="1:3" ht="16">
      <c r="A494" s="154"/>
      <c r="B494" s="155"/>
      <c r="C494" s="93"/>
    </row>
    <row r="495" spans="1:3" ht="16">
      <c r="A495" s="154"/>
      <c r="B495" s="155"/>
      <c r="C495" s="93"/>
    </row>
    <row r="496" spans="1:3" ht="16">
      <c r="A496" s="154"/>
      <c r="B496" s="155"/>
      <c r="C496" s="93"/>
    </row>
    <row r="497" spans="1:3" ht="16">
      <c r="A497" s="154"/>
      <c r="B497" s="155"/>
      <c r="C497" s="93"/>
    </row>
    <row r="498" spans="1:3" ht="16">
      <c r="A498" s="154"/>
      <c r="B498" s="155"/>
      <c r="C498" s="93"/>
    </row>
    <row r="499" spans="1:3" ht="16">
      <c r="A499" s="154"/>
      <c r="B499" s="155"/>
      <c r="C499" s="93"/>
    </row>
    <row r="500" spans="1:3" ht="16">
      <c r="A500" s="154"/>
      <c r="B500" s="155"/>
      <c r="C500" s="93"/>
    </row>
    <row r="501" spans="1:3" ht="16">
      <c r="A501" s="154"/>
      <c r="B501" s="155"/>
      <c r="C501" s="93"/>
    </row>
    <row r="502" spans="1:3" ht="16">
      <c r="A502" s="154"/>
      <c r="B502" s="155"/>
      <c r="C502" s="93"/>
    </row>
    <row r="503" spans="1:3" ht="16">
      <c r="A503" s="154"/>
      <c r="B503" s="155"/>
      <c r="C503" s="93"/>
    </row>
    <row r="504" spans="1:3" ht="16">
      <c r="A504" s="154"/>
      <c r="B504" s="155"/>
      <c r="C504" s="93"/>
    </row>
    <row r="505" spans="1:3" ht="16">
      <c r="A505" s="154"/>
      <c r="B505" s="155"/>
      <c r="C505" s="93"/>
    </row>
    <row r="506" spans="1:3" ht="16">
      <c r="A506" s="154"/>
      <c r="B506" s="155"/>
      <c r="C506" s="93"/>
    </row>
    <row r="507" spans="1:3" ht="16">
      <c r="A507" s="154"/>
      <c r="B507" s="155"/>
      <c r="C507" s="93"/>
    </row>
    <row r="508" spans="1:3" ht="16">
      <c r="A508" s="154"/>
      <c r="B508" s="155"/>
      <c r="C508" s="93"/>
    </row>
    <row r="509" spans="1:3" ht="16">
      <c r="A509" s="154"/>
      <c r="B509" s="155"/>
      <c r="C509" s="93"/>
    </row>
    <row r="510" spans="1:3" ht="16">
      <c r="A510" s="154"/>
      <c r="B510" s="155"/>
      <c r="C510" s="93"/>
    </row>
    <row r="511" spans="1:3" ht="16">
      <c r="A511" s="154"/>
      <c r="B511" s="155"/>
      <c r="C511" s="93"/>
    </row>
    <row r="512" spans="1:3" ht="16">
      <c r="A512" s="154"/>
      <c r="B512" s="155"/>
      <c r="C512" s="93"/>
    </row>
    <row r="513" spans="1:3" ht="16">
      <c r="A513" s="154"/>
      <c r="B513" s="155"/>
      <c r="C513" s="93"/>
    </row>
    <row r="514" spans="1:3" ht="16">
      <c r="A514" s="154"/>
      <c r="B514" s="155"/>
      <c r="C514" s="93"/>
    </row>
    <row r="515" spans="1:3" ht="16">
      <c r="A515" s="154"/>
      <c r="B515" s="155"/>
      <c r="C515" s="93"/>
    </row>
    <row r="516" spans="1:3" ht="16">
      <c r="A516" s="154"/>
      <c r="B516" s="155"/>
      <c r="C516" s="93"/>
    </row>
    <row r="517" spans="1:3" ht="16">
      <c r="A517" s="154"/>
      <c r="B517" s="155"/>
      <c r="C517" s="93"/>
    </row>
    <row r="518" spans="1:3" ht="16">
      <c r="A518" s="154"/>
      <c r="B518" s="155"/>
      <c r="C518" s="93"/>
    </row>
    <row r="519" spans="1:3" ht="16">
      <c r="A519" s="154"/>
      <c r="B519" s="155"/>
      <c r="C519" s="93"/>
    </row>
    <row r="520" spans="1:3" ht="16">
      <c r="A520" s="154"/>
      <c r="B520" s="155"/>
      <c r="C520" s="93"/>
    </row>
    <row r="521" spans="1:3" ht="16">
      <c r="A521" s="154"/>
      <c r="B521" s="155"/>
      <c r="C521" s="93"/>
    </row>
    <row r="522" spans="1:3" ht="16">
      <c r="A522" s="154"/>
      <c r="B522" s="155"/>
      <c r="C522" s="93"/>
    </row>
    <row r="523" spans="1:3" ht="16">
      <c r="A523" s="154"/>
      <c r="B523" s="155"/>
      <c r="C523" s="93"/>
    </row>
    <row r="524" spans="1:3" ht="16">
      <c r="A524" s="154"/>
      <c r="B524" s="155"/>
      <c r="C524" s="93"/>
    </row>
    <row r="525" spans="1:3" ht="16">
      <c r="A525" s="154"/>
      <c r="B525" s="155"/>
      <c r="C525" s="93"/>
    </row>
    <row r="526" spans="1:3" ht="16">
      <c r="A526" s="154"/>
      <c r="B526" s="155"/>
      <c r="C526" s="93"/>
    </row>
    <row r="527" spans="1:3" ht="16">
      <c r="A527" s="154"/>
      <c r="B527" s="155"/>
      <c r="C527" s="93"/>
    </row>
    <row r="528" spans="1:3" ht="16">
      <c r="A528" s="154"/>
      <c r="B528" s="155"/>
      <c r="C528" s="93"/>
    </row>
    <row r="529" spans="1:3" ht="16">
      <c r="A529" s="154"/>
      <c r="B529" s="155"/>
      <c r="C529" s="93"/>
    </row>
    <row r="530" spans="1:3" ht="16">
      <c r="A530" s="154"/>
      <c r="B530" s="155"/>
      <c r="C530" s="93"/>
    </row>
    <row r="531" spans="1:3" ht="16">
      <c r="A531" s="154"/>
      <c r="B531" s="155"/>
      <c r="C531" s="93"/>
    </row>
    <row r="532" spans="1:3" ht="16">
      <c r="A532" s="154"/>
      <c r="B532" s="155"/>
      <c r="C532" s="93"/>
    </row>
    <row r="533" spans="1:3" ht="16">
      <c r="A533" s="154"/>
      <c r="B533" s="155"/>
      <c r="C533" s="93"/>
    </row>
    <row r="534" spans="1:3" ht="16">
      <c r="A534" s="154"/>
      <c r="B534" s="155"/>
      <c r="C534" s="93"/>
    </row>
    <row r="535" spans="1:3" ht="16">
      <c r="A535" s="154"/>
      <c r="B535" s="155"/>
      <c r="C535" s="93"/>
    </row>
    <row r="536" spans="1:3" ht="16">
      <c r="A536" s="154"/>
      <c r="B536" s="155"/>
      <c r="C536" s="93"/>
    </row>
    <row r="537" spans="1:3" ht="16">
      <c r="A537" s="154"/>
      <c r="B537" s="155"/>
      <c r="C537" s="93"/>
    </row>
    <row r="538" spans="1:3" ht="16">
      <c r="A538" s="154"/>
      <c r="B538" s="155"/>
      <c r="C538" s="93"/>
    </row>
    <row r="539" spans="1:3" ht="16">
      <c r="A539" s="154"/>
      <c r="B539" s="155"/>
      <c r="C539" s="93"/>
    </row>
    <row r="540" spans="1:3" ht="16">
      <c r="A540" s="154"/>
      <c r="B540" s="155"/>
      <c r="C540" s="93"/>
    </row>
    <row r="541" spans="1:3" ht="16">
      <c r="A541" s="154"/>
      <c r="B541" s="155"/>
      <c r="C541" s="93"/>
    </row>
    <row r="542" spans="1:3" ht="16">
      <c r="A542" s="154"/>
      <c r="B542" s="155"/>
      <c r="C542" s="93"/>
    </row>
    <row r="543" spans="1:3" ht="16">
      <c r="A543" s="154"/>
      <c r="B543" s="155"/>
      <c r="C543" s="93"/>
    </row>
    <row r="544" spans="1:3" ht="16">
      <c r="A544" s="154"/>
      <c r="B544" s="155"/>
      <c r="C544" s="93"/>
    </row>
    <row r="545" spans="1:3" ht="16">
      <c r="A545" s="154"/>
      <c r="B545" s="155"/>
      <c r="C545" s="93"/>
    </row>
    <row r="546" spans="1:3" ht="16">
      <c r="A546" s="154"/>
      <c r="B546" s="155"/>
      <c r="C546" s="93"/>
    </row>
    <row r="547" spans="1:3" ht="16">
      <c r="A547" s="154"/>
      <c r="B547" s="155"/>
      <c r="C547" s="93"/>
    </row>
    <row r="548" spans="1:3" ht="16">
      <c r="A548" s="154"/>
      <c r="B548" s="155"/>
      <c r="C548" s="93"/>
    </row>
    <row r="549" spans="1:3" ht="16">
      <c r="A549" s="154"/>
      <c r="B549" s="155"/>
      <c r="C549" s="93"/>
    </row>
    <row r="550" spans="1:3" ht="16">
      <c r="A550" s="154"/>
      <c r="B550" s="155"/>
      <c r="C550" s="93"/>
    </row>
    <row r="551" spans="1:3" ht="16">
      <c r="A551" s="154"/>
      <c r="B551" s="155"/>
      <c r="C551" s="93"/>
    </row>
    <row r="552" spans="1:3" ht="16">
      <c r="A552" s="154"/>
      <c r="B552" s="155"/>
      <c r="C552" s="93"/>
    </row>
    <row r="553" spans="1:3" ht="16">
      <c r="A553" s="154"/>
      <c r="B553" s="155"/>
      <c r="C553" s="93"/>
    </row>
    <row r="554" spans="1:3" ht="16">
      <c r="A554" s="154"/>
      <c r="B554" s="155"/>
      <c r="C554" s="93"/>
    </row>
    <row r="555" spans="1:3" ht="16">
      <c r="A555" s="154"/>
      <c r="B555" s="155"/>
      <c r="C555" s="93"/>
    </row>
    <row r="556" spans="1:3" ht="16">
      <c r="A556" s="154"/>
      <c r="B556" s="155"/>
      <c r="C556" s="93"/>
    </row>
    <row r="557" spans="1:3" ht="16">
      <c r="A557" s="154"/>
      <c r="B557" s="155"/>
      <c r="C557" s="93"/>
    </row>
    <row r="558" spans="1:3" ht="16">
      <c r="A558" s="154"/>
      <c r="B558" s="155"/>
      <c r="C558" s="93"/>
    </row>
    <row r="559" spans="1:3" ht="16">
      <c r="A559" s="154"/>
      <c r="B559" s="155"/>
      <c r="C559" s="93"/>
    </row>
    <row r="560" spans="1:3" ht="16">
      <c r="A560" s="154"/>
      <c r="B560" s="155"/>
      <c r="C560" s="93"/>
    </row>
    <row r="561" spans="1:3" ht="16">
      <c r="A561" s="154"/>
      <c r="B561" s="155"/>
      <c r="C561" s="93"/>
    </row>
    <row r="562" spans="1:3" ht="16">
      <c r="A562" s="154"/>
      <c r="B562" s="155"/>
      <c r="C562" s="93"/>
    </row>
    <row r="563" spans="1:3" ht="16">
      <c r="A563" s="154"/>
      <c r="B563" s="155"/>
      <c r="C563" s="93"/>
    </row>
    <row r="564" spans="1:3" ht="16">
      <c r="A564" s="154"/>
      <c r="B564" s="155"/>
      <c r="C564" s="93"/>
    </row>
    <row r="565" spans="1:3" ht="16">
      <c r="A565" s="154"/>
      <c r="B565" s="155"/>
      <c r="C565" s="93"/>
    </row>
    <row r="566" spans="1:3" ht="16">
      <c r="A566" s="154"/>
      <c r="B566" s="155"/>
      <c r="C566" s="93"/>
    </row>
    <row r="567" spans="1:3" ht="16">
      <c r="A567" s="154"/>
      <c r="B567" s="155"/>
      <c r="C567" s="93"/>
    </row>
    <row r="568" spans="1:3" ht="16">
      <c r="A568" s="154"/>
      <c r="B568" s="155"/>
      <c r="C568" s="93"/>
    </row>
    <row r="569" spans="1:3" ht="16">
      <c r="A569" s="154"/>
      <c r="B569" s="155"/>
      <c r="C569" s="93"/>
    </row>
    <row r="570" spans="1:3" ht="16">
      <c r="A570" s="154"/>
      <c r="B570" s="155"/>
      <c r="C570" s="93"/>
    </row>
    <row r="571" spans="1:3" ht="16">
      <c r="A571" s="154"/>
      <c r="B571" s="155"/>
      <c r="C571" s="93"/>
    </row>
    <row r="572" spans="1:3" ht="16">
      <c r="A572" s="154"/>
      <c r="B572" s="155"/>
      <c r="C572" s="93"/>
    </row>
    <row r="573" spans="1:3" ht="16">
      <c r="A573" s="154"/>
      <c r="B573" s="155"/>
      <c r="C573" s="93"/>
    </row>
    <row r="574" spans="1:3" ht="16">
      <c r="A574" s="154"/>
      <c r="B574" s="155"/>
      <c r="C574" s="93"/>
    </row>
    <row r="575" spans="1:3" ht="16">
      <c r="A575" s="154"/>
      <c r="B575" s="155"/>
      <c r="C575" s="93"/>
    </row>
    <row r="576" spans="1:3" ht="16">
      <c r="A576" s="154"/>
      <c r="B576" s="155"/>
      <c r="C576" s="93"/>
    </row>
    <row r="577" spans="1:3" ht="16">
      <c r="A577" s="154"/>
      <c r="B577" s="155"/>
      <c r="C577" s="93"/>
    </row>
    <row r="578" spans="1:3" ht="16">
      <c r="A578" s="154"/>
      <c r="B578" s="155"/>
      <c r="C578" s="93"/>
    </row>
    <row r="579" spans="1:3" ht="16">
      <c r="A579" s="154"/>
      <c r="B579" s="155"/>
      <c r="C579" s="93"/>
    </row>
    <row r="580" spans="1:3" ht="16">
      <c r="A580" s="154"/>
      <c r="B580" s="155"/>
      <c r="C580" s="93"/>
    </row>
    <row r="581" spans="1:3" ht="16">
      <c r="A581" s="154"/>
      <c r="B581" s="155"/>
      <c r="C581" s="93"/>
    </row>
    <row r="582" spans="1:3" ht="16">
      <c r="A582" s="154"/>
      <c r="B582" s="155"/>
      <c r="C582" s="93"/>
    </row>
    <row r="583" spans="1:3" ht="16">
      <c r="A583" s="154"/>
      <c r="B583" s="155"/>
      <c r="C583" s="93"/>
    </row>
    <row r="584" spans="1:3" ht="16">
      <c r="A584" s="154"/>
      <c r="B584" s="155"/>
      <c r="C584" s="93"/>
    </row>
    <row r="585" spans="1:3" ht="16">
      <c r="A585" s="154"/>
      <c r="B585" s="155"/>
      <c r="C585" s="93"/>
    </row>
    <row r="586" spans="1:3" ht="16">
      <c r="A586" s="154"/>
      <c r="B586" s="155"/>
      <c r="C586" s="93"/>
    </row>
    <row r="587" spans="1:3" ht="16">
      <c r="A587" s="154"/>
      <c r="B587" s="155"/>
      <c r="C587" s="93"/>
    </row>
    <row r="588" spans="1:3" ht="16">
      <c r="A588" s="154"/>
      <c r="B588" s="155"/>
      <c r="C588" s="93"/>
    </row>
    <row r="589" spans="1:3" ht="16">
      <c r="A589" s="154"/>
      <c r="B589" s="155"/>
      <c r="C589" s="93"/>
    </row>
    <row r="590" spans="1:3" ht="16">
      <c r="A590" s="154"/>
      <c r="B590" s="155"/>
      <c r="C590" s="93"/>
    </row>
    <row r="591" spans="1:3" ht="16">
      <c r="A591" s="154"/>
      <c r="B591" s="155"/>
      <c r="C591" s="93"/>
    </row>
    <row r="592" spans="1:3" ht="16">
      <c r="A592" s="154"/>
      <c r="B592" s="155"/>
      <c r="C592" s="93"/>
    </row>
    <row r="593" spans="1:3" ht="16">
      <c r="A593" s="154"/>
      <c r="B593" s="155"/>
      <c r="C593" s="93"/>
    </row>
    <row r="594" spans="1:3" ht="16">
      <c r="A594" s="154"/>
      <c r="B594" s="155"/>
      <c r="C594" s="93"/>
    </row>
    <row r="595" spans="1:3" ht="16">
      <c r="A595" s="154"/>
      <c r="B595" s="155"/>
      <c r="C595" s="93"/>
    </row>
    <row r="596" spans="1:3" ht="16">
      <c r="A596" s="154"/>
      <c r="B596" s="155"/>
      <c r="C596" s="93"/>
    </row>
    <row r="597" spans="1:3" ht="16">
      <c r="A597" s="154"/>
      <c r="B597" s="155"/>
      <c r="C597" s="93"/>
    </row>
    <row r="598" spans="1:3" ht="16">
      <c r="A598" s="154"/>
      <c r="B598" s="155"/>
      <c r="C598" s="93"/>
    </row>
    <row r="599" spans="1:3" ht="16">
      <c r="A599" s="154"/>
      <c r="B599" s="155"/>
      <c r="C599" s="93"/>
    </row>
    <row r="600" spans="1:3" ht="16">
      <c r="A600" s="154"/>
      <c r="B600" s="155"/>
      <c r="C600" s="93"/>
    </row>
    <row r="601" spans="1:3" ht="16">
      <c r="A601" s="154"/>
      <c r="B601" s="155"/>
      <c r="C601" s="93"/>
    </row>
    <row r="602" spans="1:3" ht="16">
      <c r="A602" s="154"/>
      <c r="B602" s="155"/>
      <c r="C602" s="93"/>
    </row>
    <row r="603" spans="1:3" ht="16">
      <c r="A603" s="154"/>
      <c r="B603" s="155"/>
      <c r="C603" s="93"/>
    </row>
    <row r="604" spans="1:3" ht="16">
      <c r="A604" s="154"/>
      <c r="B604" s="155"/>
      <c r="C604" s="93"/>
    </row>
    <row r="605" spans="1:3" ht="16">
      <c r="A605" s="154"/>
      <c r="B605" s="155"/>
      <c r="C605" s="93"/>
    </row>
    <row r="606" spans="1:3" ht="16">
      <c r="A606" s="154"/>
      <c r="B606" s="155"/>
      <c r="C606" s="93"/>
    </row>
    <row r="607" spans="1:3" ht="16">
      <c r="A607" s="154"/>
      <c r="B607" s="155"/>
      <c r="C607" s="93"/>
    </row>
    <row r="608" spans="1:3" ht="16">
      <c r="A608" s="154"/>
      <c r="B608" s="155"/>
      <c r="C608" s="93"/>
    </row>
    <row r="609" spans="1:3" ht="16">
      <c r="A609" s="154"/>
      <c r="B609" s="155"/>
      <c r="C609" s="93"/>
    </row>
    <row r="610" spans="1:3" ht="16">
      <c r="A610" s="154"/>
      <c r="B610" s="155"/>
      <c r="C610" s="93"/>
    </row>
    <row r="611" spans="1:3" ht="16">
      <c r="A611" s="154"/>
      <c r="B611" s="155"/>
      <c r="C611" s="93"/>
    </row>
    <row r="612" spans="1:3" ht="16">
      <c r="A612" s="154"/>
      <c r="B612" s="155"/>
      <c r="C612" s="93"/>
    </row>
    <row r="613" spans="1:3" ht="16">
      <c r="A613" s="154"/>
      <c r="B613" s="155"/>
      <c r="C613" s="93"/>
    </row>
    <row r="614" spans="1:3" ht="16">
      <c r="A614" s="154"/>
      <c r="B614" s="155"/>
      <c r="C614" s="93"/>
    </row>
    <row r="615" spans="1:3" ht="16">
      <c r="A615" s="154"/>
      <c r="B615" s="155"/>
      <c r="C615" s="93"/>
    </row>
    <row r="616" spans="1:3" ht="16">
      <c r="A616" s="154"/>
      <c r="B616" s="155"/>
      <c r="C616" s="93"/>
    </row>
    <row r="617" spans="1:3" ht="16">
      <c r="A617" s="154"/>
      <c r="B617" s="155"/>
      <c r="C617" s="93"/>
    </row>
    <row r="618" spans="1:3" ht="16">
      <c r="A618" s="154"/>
      <c r="B618" s="155"/>
      <c r="C618" s="93"/>
    </row>
    <row r="619" spans="1:3" ht="16">
      <c r="A619" s="154"/>
      <c r="B619" s="155"/>
      <c r="C619" s="93"/>
    </row>
    <row r="620" spans="1:3" ht="16">
      <c r="A620" s="154"/>
      <c r="B620" s="155"/>
      <c r="C620" s="93"/>
    </row>
    <row r="621" spans="1:3" ht="16">
      <c r="A621" s="154"/>
      <c r="B621" s="155"/>
      <c r="C621" s="93"/>
    </row>
    <row r="622" spans="1:3" ht="16">
      <c r="A622" s="154"/>
      <c r="B622" s="155"/>
      <c r="C622" s="93"/>
    </row>
    <row r="623" spans="1:3" ht="16">
      <c r="A623" s="154"/>
      <c r="B623" s="155"/>
      <c r="C623" s="93"/>
    </row>
    <row r="624" spans="1:3" ht="16">
      <c r="A624" s="154"/>
      <c r="B624" s="155"/>
      <c r="C624" s="93"/>
    </row>
    <row r="625" spans="1:3" ht="16">
      <c r="A625" s="154"/>
      <c r="B625" s="155"/>
      <c r="C625" s="93"/>
    </row>
    <row r="626" spans="1:3" ht="16">
      <c r="A626" s="154"/>
      <c r="B626" s="155"/>
      <c r="C626" s="93"/>
    </row>
    <row r="627" spans="1:3" ht="16">
      <c r="A627" s="154"/>
      <c r="B627" s="155"/>
      <c r="C627" s="93"/>
    </row>
    <row r="628" spans="1:3" ht="16">
      <c r="A628" s="154"/>
      <c r="B628" s="155"/>
      <c r="C628" s="93"/>
    </row>
    <row r="629" spans="1:3" ht="16">
      <c r="A629" s="154"/>
      <c r="B629" s="155"/>
      <c r="C629" s="93"/>
    </row>
    <row r="630" spans="1:3" ht="16">
      <c r="A630" s="154"/>
      <c r="B630" s="155"/>
      <c r="C630" s="93"/>
    </row>
    <row r="631" spans="1:3" ht="16">
      <c r="A631" s="154"/>
      <c r="B631" s="155"/>
      <c r="C631" s="93"/>
    </row>
    <row r="632" spans="1:3" ht="16">
      <c r="A632" s="154"/>
      <c r="B632" s="155"/>
      <c r="C632" s="93"/>
    </row>
    <row r="633" spans="1:3" ht="16">
      <c r="A633" s="154"/>
      <c r="B633" s="155"/>
      <c r="C633" s="93"/>
    </row>
    <row r="634" spans="1:3" ht="16">
      <c r="A634" s="154"/>
      <c r="B634" s="155"/>
      <c r="C634" s="93"/>
    </row>
    <row r="635" spans="1:3" ht="16">
      <c r="A635" s="154"/>
      <c r="B635" s="155"/>
      <c r="C635" s="93"/>
    </row>
    <row r="636" spans="1:3" ht="16">
      <c r="A636" s="154"/>
      <c r="B636" s="155"/>
      <c r="C636" s="93"/>
    </row>
    <row r="637" spans="1:3" ht="16">
      <c r="A637" s="154"/>
      <c r="B637" s="155"/>
      <c r="C637" s="93"/>
    </row>
    <row r="638" spans="1:3" ht="16">
      <c r="A638" s="154"/>
      <c r="B638" s="155"/>
      <c r="C638" s="93"/>
    </row>
    <row r="639" spans="1:3" ht="16">
      <c r="A639" s="154"/>
      <c r="B639" s="155"/>
      <c r="C639" s="93"/>
    </row>
    <row r="640" spans="1:3" ht="16">
      <c r="A640" s="154"/>
      <c r="B640" s="155"/>
      <c r="C640" s="93"/>
    </row>
    <row r="641" spans="1:3" ht="16">
      <c r="A641" s="154"/>
      <c r="B641" s="155"/>
      <c r="C641" s="93"/>
    </row>
    <row r="642" spans="1:3" ht="16">
      <c r="A642" s="154"/>
      <c r="B642" s="155"/>
      <c r="C642" s="93"/>
    </row>
    <row r="643" spans="1:3" ht="16">
      <c r="A643" s="154"/>
      <c r="B643" s="155"/>
      <c r="C643" s="93"/>
    </row>
    <row r="644" spans="1:3" ht="16">
      <c r="A644" s="154"/>
      <c r="B644" s="155"/>
      <c r="C644" s="93"/>
    </row>
    <row r="645" spans="1:3" ht="16">
      <c r="A645" s="154"/>
      <c r="B645" s="155"/>
      <c r="C645" s="93"/>
    </row>
    <row r="646" spans="1:3" ht="16">
      <c r="A646" s="154"/>
      <c r="B646" s="155"/>
      <c r="C646" s="93"/>
    </row>
    <row r="647" spans="1:3" ht="16">
      <c r="A647" s="154"/>
      <c r="B647" s="155"/>
      <c r="C647" s="93"/>
    </row>
    <row r="648" spans="1:3" ht="16">
      <c r="A648" s="154"/>
      <c r="B648" s="155"/>
      <c r="C648" s="93"/>
    </row>
    <row r="649" spans="1:3" ht="16">
      <c r="A649" s="154"/>
      <c r="B649" s="155"/>
      <c r="C649" s="93"/>
    </row>
    <row r="650" spans="1:3" ht="16">
      <c r="A650" s="154"/>
      <c r="B650" s="155"/>
      <c r="C650" s="93"/>
    </row>
    <row r="651" spans="1:3" ht="16">
      <c r="A651" s="154"/>
      <c r="B651" s="155"/>
      <c r="C651" s="93"/>
    </row>
    <row r="652" spans="1:3" ht="16">
      <c r="A652" s="154"/>
      <c r="B652" s="155"/>
      <c r="C652" s="93"/>
    </row>
    <row r="653" spans="1:3" ht="16">
      <c r="A653" s="154"/>
      <c r="B653" s="155"/>
      <c r="C653" s="93"/>
    </row>
    <row r="654" spans="1:3" ht="16">
      <c r="A654" s="154"/>
      <c r="B654" s="155"/>
      <c r="C654" s="93"/>
    </row>
    <row r="655" spans="1:3" ht="16">
      <c r="A655" s="154"/>
      <c r="B655" s="155"/>
      <c r="C655" s="93"/>
    </row>
    <row r="656" spans="1:3" ht="16">
      <c r="A656" s="154"/>
      <c r="B656" s="155"/>
      <c r="C656" s="93"/>
    </row>
    <row r="657" spans="1:3" ht="16">
      <c r="A657" s="154"/>
      <c r="B657" s="155"/>
      <c r="C657" s="93"/>
    </row>
    <row r="658" spans="1:3" ht="16">
      <c r="A658" s="154"/>
      <c r="B658" s="155"/>
      <c r="C658" s="93"/>
    </row>
    <row r="659" spans="1:3" ht="16">
      <c r="A659" s="154"/>
      <c r="B659" s="155"/>
      <c r="C659" s="93"/>
    </row>
    <row r="660" spans="1:3" ht="16">
      <c r="A660" s="154"/>
      <c r="B660" s="155"/>
      <c r="C660" s="93"/>
    </row>
    <row r="661" spans="1:3" ht="16">
      <c r="A661" s="154"/>
      <c r="B661" s="155"/>
      <c r="C661" s="93"/>
    </row>
    <row r="662" spans="1:3" ht="16">
      <c r="A662" s="154"/>
      <c r="B662" s="155"/>
      <c r="C662" s="93"/>
    </row>
    <row r="663" spans="1:3" ht="16">
      <c r="A663" s="154"/>
      <c r="B663" s="155"/>
      <c r="C663" s="93"/>
    </row>
    <row r="664" spans="1:3" ht="16">
      <c r="A664" s="154"/>
      <c r="B664" s="155"/>
      <c r="C664" s="93"/>
    </row>
    <row r="665" spans="1:3" ht="16">
      <c r="A665" s="154"/>
      <c r="B665" s="155"/>
      <c r="C665" s="93"/>
    </row>
    <row r="666" spans="1:3" ht="16">
      <c r="A666" s="154"/>
      <c r="B666" s="155"/>
      <c r="C666" s="93"/>
    </row>
    <row r="667" spans="1:3" ht="16">
      <c r="A667" s="154"/>
      <c r="B667" s="155"/>
      <c r="C667" s="93"/>
    </row>
    <row r="668" spans="1:3" ht="16">
      <c r="A668" s="154"/>
      <c r="B668" s="155"/>
      <c r="C668" s="93"/>
    </row>
    <row r="669" spans="1:3" ht="16">
      <c r="A669" s="154"/>
      <c r="B669" s="155"/>
      <c r="C669" s="93"/>
    </row>
    <row r="670" spans="1:3" ht="16">
      <c r="A670" s="154"/>
      <c r="B670" s="155"/>
      <c r="C670" s="93"/>
    </row>
    <row r="671" spans="1:3" ht="16">
      <c r="A671" s="154"/>
      <c r="B671" s="155"/>
      <c r="C671" s="93"/>
    </row>
    <row r="672" spans="1:3" ht="16">
      <c r="A672" s="154"/>
      <c r="B672" s="155"/>
      <c r="C672" s="93"/>
    </row>
    <row r="673" spans="1:3" ht="16">
      <c r="A673" s="154"/>
      <c r="B673" s="155"/>
      <c r="C673" s="93"/>
    </row>
    <row r="674" spans="1:3" ht="16">
      <c r="A674" s="154"/>
      <c r="B674" s="155"/>
      <c r="C674" s="93"/>
    </row>
    <row r="675" spans="1:3" ht="16">
      <c r="A675" s="154"/>
      <c r="B675" s="155"/>
      <c r="C675" s="93"/>
    </row>
    <row r="676" spans="1:3" ht="16">
      <c r="A676" s="154"/>
      <c r="B676" s="155"/>
      <c r="C676" s="93"/>
    </row>
    <row r="677" spans="1:3" ht="16">
      <c r="A677" s="154"/>
      <c r="B677" s="155"/>
      <c r="C677" s="93"/>
    </row>
    <row r="678" spans="1:3" ht="16">
      <c r="A678" s="154"/>
      <c r="B678" s="155"/>
      <c r="C678" s="93"/>
    </row>
    <row r="679" spans="1:3" ht="16">
      <c r="A679" s="154"/>
      <c r="B679" s="155"/>
      <c r="C679" s="93"/>
    </row>
    <row r="680" spans="1:3" ht="16">
      <c r="A680" s="154"/>
      <c r="B680" s="155"/>
      <c r="C680" s="93"/>
    </row>
    <row r="681" spans="1:3" ht="16">
      <c r="A681" s="154"/>
      <c r="B681" s="155"/>
      <c r="C681" s="93"/>
    </row>
    <row r="682" spans="1:3" ht="16">
      <c r="A682" s="154"/>
      <c r="B682" s="155"/>
      <c r="C682" s="93"/>
    </row>
    <row r="683" spans="1:3" ht="16">
      <c r="A683" s="154"/>
      <c r="B683" s="155"/>
      <c r="C683" s="93"/>
    </row>
    <row r="684" spans="1:3" ht="16">
      <c r="A684" s="154"/>
      <c r="B684" s="155"/>
      <c r="C684" s="93"/>
    </row>
    <row r="685" spans="1:3" ht="16">
      <c r="A685" s="154"/>
      <c r="B685" s="155"/>
      <c r="C685" s="93"/>
    </row>
    <row r="686" spans="1:3" ht="16">
      <c r="A686" s="154"/>
      <c r="B686" s="155"/>
      <c r="C686" s="93"/>
    </row>
    <row r="687" spans="1:3" ht="16">
      <c r="A687" s="154"/>
      <c r="B687" s="155"/>
      <c r="C687" s="93"/>
    </row>
    <row r="688" spans="1:3" ht="16">
      <c r="A688" s="154"/>
      <c r="B688" s="155"/>
      <c r="C688" s="93"/>
    </row>
    <row r="689" spans="1:3" ht="16">
      <c r="A689" s="154"/>
      <c r="B689" s="155"/>
      <c r="C689" s="93"/>
    </row>
    <row r="690" spans="1:3" ht="16">
      <c r="A690" s="154"/>
      <c r="B690" s="155"/>
      <c r="C690" s="93"/>
    </row>
    <row r="691" spans="1:3" ht="16">
      <c r="A691" s="154"/>
      <c r="B691" s="155"/>
      <c r="C691" s="93"/>
    </row>
    <row r="692" spans="1:3" ht="16">
      <c r="A692" s="154"/>
      <c r="B692" s="155"/>
      <c r="C692" s="93"/>
    </row>
    <row r="693" spans="1:3" ht="16">
      <c r="A693" s="154"/>
      <c r="B693" s="155"/>
      <c r="C693" s="93"/>
    </row>
    <row r="694" spans="1:3" ht="16">
      <c r="A694" s="154"/>
      <c r="B694" s="155"/>
      <c r="C694" s="93"/>
    </row>
    <row r="695" spans="1:3" ht="16">
      <c r="A695" s="154"/>
      <c r="B695" s="155"/>
      <c r="C695" s="93"/>
    </row>
    <row r="696" spans="1:3" ht="16">
      <c r="A696" s="154"/>
      <c r="B696" s="155"/>
      <c r="C696" s="93"/>
    </row>
    <row r="697" spans="1:3" ht="16">
      <c r="A697" s="154"/>
      <c r="B697" s="155"/>
      <c r="C697" s="93"/>
    </row>
    <row r="698" spans="1:3" ht="16">
      <c r="A698" s="154"/>
      <c r="B698" s="155"/>
      <c r="C698" s="93"/>
    </row>
    <row r="699" spans="1:3" ht="16">
      <c r="A699" s="154"/>
      <c r="B699" s="155"/>
      <c r="C699" s="93"/>
    </row>
    <row r="700" spans="1:3" ht="16">
      <c r="A700" s="154"/>
      <c r="B700" s="155"/>
      <c r="C700" s="93"/>
    </row>
    <row r="701" spans="1:3" ht="16">
      <c r="A701" s="154"/>
      <c r="B701" s="155"/>
      <c r="C701" s="93"/>
    </row>
    <row r="702" spans="1:3" ht="16">
      <c r="A702" s="154"/>
      <c r="B702" s="155"/>
      <c r="C702" s="93"/>
    </row>
    <row r="703" spans="1:3" ht="16">
      <c r="A703" s="154"/>
      <c r="B703" s="155"/>
      <c r="C703" s="93"/>
    </row>
    <row r="704" spans="1:3" ht="16">
      <c r="A704" s="154"/>
      <c r="B704" s="155"/>
      <c r="C704" s="93"/>
    </row>
    <row r="705" spans="1:3" ht="16">
      <c r="A705" s="154"/>
      <c r="B705" s="155"/>
      <c r="C705" s="93"/>
    </row>
    <row r="706" spans="1:3" ht="16">
      <c r="A706" s="154"/>
      <c r="B706" s="155"/>
      <c r="C706" s="93"/>
    </row>
    <row r="707" spans="1:3" ht="16">
      <c r="A707" s="154"/>
      <c r="B707" s="155"/>
      <c r="C707" s="93"/>
    </row>
    <row r="708" spans="1:3" ht="16">
      <c r="A708" s="154"/>
      <c r="B708" s="155"/>
      <c r="C708" s="93"/>
    </row>
    <row r="709" spans="1:3" ht="16">
      <c r="A709" s="154"/>
      <c r="B709" s="155"/>
      <c r="C709" s="93"/>
    </row>
    <row r="710" spans="1:3" ht="16">
      <c r="A710" s="154"/>
      <c r="B710" s="155"/>
      <c r="C710" s="93"/>
    </row>
    <row r="711" spans="1:3" ht="16">
      <c r="A711" s="154"/>
      <c r="B711" s="155"/>
      <c r="C711" s="93"/>
    </row>
    <row r="712" spans="1:3" ht="16">
      <c r="A712" s="154"/>
      <c r="B712" s="155"/>
      <c r="C712" s="93"/>
    </row>
    <row r="713" spans="1:3" ht="16">
      <c r="A713" s="154"/>
      <c r="B713" s="155"/>
      <c r="C713" s="93"/>
    </row>
    <row r="714" spans="1:3" ht="16">
      <c r="A714" s="154"/>
      <c r="B714" s="155"/>
      <c r="C714" s="93"/>
    </row>
    <row r="715" spans="1:3" ht="16">
      <c r="A715" s="154"/>
      <c r="B715" s="155"/>
      <c r="C715" s="93"/>
    </row>
    <row r="716" spans="1:3" ht="16">
      <c r="A716" s="154"/>
      <c r="B716" s="155"/>
      <c r="C716" s="93"/>
    </row>
    <row r="717" spans="1:3" ht="16">
      <c r="A717" s="154"/>
      <c r="B717" s="155"/>
      <c r="C717" s="93"/>
    </row>
    <row r="718" spans="1:3" ht="16">
      <c r="A718" s="154"/>
      <c r="B718" s="155"/>
      <c r="C718" s="93"/>
    </row>
    <row r="719" spans="1:3" ht="16">
      <c r="A719" s="154"/>
      <c r="B719" s="155"/>
      <c r="C719" s="93"/>
    </row>
    <row r="720" spans="1:3" ht="16">
      <c r="A720" s="154"/>
      <c r="B720" s="155"/>
      <c r="C720" s="93"/>
    </row>
    <row r="721" spans="1:3" ht="16">
      <c r="A721" s="154"/>
      <c r="B721" s="155"/>
      <c r="C721" s="93"/>
    </row>
    <row r="722" spans="1:3" ht="16">
      <c r="A722" s="154"/>
      <c r="B722" s="155"/>
      <c r="C722" s="93"/>
    </row>
    <row r="723" spans="1:3" ht="16">
      <c r="A723" s="154"/>
      <c r="B723" s="155"/>
      <c r="C723" s="93"/>
    </row>
    <row r="724" spans="1:3" ht="16">
      <c r="A724" s="154"/>
      <c r="B724" s="155"/>
      <c r="C724" s="93"/>
    </row>
    <row r="725" spans="1:3" ht="16">
      <c r="A725" s="154"/>
      <c r="B725" s="155"/>
      <c r="C725" s="93"/>
    </row>
    <row r="726" spans="1:3" ht="16">
      <c r="A726" s="154"/>
      <c r="B726" s="155"/>
      <c r="C726" s="93"/>
    </row>
    <row r="727" spans="1:3" ht="16">
      <c r="A727" s="154"/>
      <c r="B727" s="155"/>
      <c r="C727" s="93"/>
    </row>
    <row r="728" spans="1:3" ht="16">
      <c r="A728" s="154"/>
      <c r="B728" s="155"/>
      <c r="C728" s="93"/>
    </row>
    <row r="729" spans="1:3" ht="16">
      <c r="A729" s="154"/>
      <c r="B729" s="155"/>
      <c r="C729" s="93"/>
    </row>
    <row r="730" spans="1:3" ht="16">
      <c r="A730" s="154"/>
      <c r="B730" s="155"/>
      <c r="C730" s="93"/>
    </row>
    <row r="731" spans="1:3" ht="16">
      <c r="A731" s="154"/>
      <c r="B731" s="155"/>
      <c r="C731" s="93"/>
    </row>
    <row r="732" spans="1:3" ht="16">
      <c r="A732" s="154"/>
      <c r="B732" s="155"/>
      <c r="C732" s="93"/>
    </row>
    <row r="733" spans="1:3" ht="16">
      <c r="A733" s="154"/>
      <c r="B733" s="155"/>
      <c r="C733" s="93"/>
    </row>
    <row r="734" spans="1:3" ht="16">
      <c r="A734" s="154"/>
      <c r="B734" s="155"/>
      <c r="C734" s="93"/>
    </row>
    <row r="735" spans="1:3" ht="16">
      <c r="A735" s="154"/>
      <c r="B735" s="155"/>
      <c r="C735" s="93"/>
    </row>
    <row r="736" spans="1:3" ht="16">
      <c r="A736" s="154"/>
      <c r="B736" s="155"/>
      <c r="C736" s="93"/>
    </row>
    <row r="737" spans="1:3" ht="16">
      <c r="A737" s="154"/>
      <c r="B737" s="155"/>
      <c r="C737" s="93"/>
    </row>
    <row r="738" spans="1:3" ht="16">
      <c r="A738" s="154"/>
      <c r="B738" s="155"/>
      <c r="C738" s="93"/>
    </row>
    <row r="739" spans="1:3" ht="16">
      <c r="A739" s="154"/>
      <c r="B739" s="155"/>
      <c r="C739" s="93"/>
    </row>
    <row r="740" spans="1:3" ht="16">
      <c r="A740" s="154"/>
      <c r="B740" s="155"/>
      <c r="C740" s="93"/>
    </row>
    <row r="741" spans="1:3" ht="16">
      <c r="A741" s="154"/>
      <c r="B741" s="155"/>
      <c r="C741" s="93"/>
    </row>
    <row r="742" spans="1:3" ht="16">
      <c r="A742" s="154"/>
      <c r="B742" s="155"/>
      <c r="C742" s="93"/>
    </row>
    <row r="743" spans="1:3" ht="16">
      <c r="A743" s="154"/>
      <c r="B743" s="155"/>
      <c r="C743" s="93"/>
    </row>
    <row r="744" spans="1:3" ht="16">
      <c r="A744" s="154"/>
      <c r="B744" s="155"/>
      <c r="C744" s="93"/>
    </row>
    <row r="745" spans="1:3" ht="16">
      <c r="A745" s="154"/>
      <c r="B745" s="155"/>
      <c r="C745" s="93"/>
    </row>
    <row r="746" spans="1:3" ht="16">
      <c r="A746" s="154"/>
      <c r="B746" s="155"/>
      <c r="C746" s="93"/>
    </row>
    <row r="747" spans="1:3" ht="16">
      <c r="A747" s="154"/>
      <c r="B747" s="155"/>
      <c r="C747" s="93"/>
    </row>
    <row r="748" spans="1:3" ht="16">
      <c r="A748" s="154"/>
      <c r="B748" s="155"/>
      <c r="C748" s="93"/>
    </row>
    <row r="749" spans="1:3" ht="16">
      <c r="A749" s="154"/>
      <c r="B749" s="155"/>
      <c r="C749" s="93"/>
    </row>
    <row r="750" spans="1:3" ht="16">
      <c r="A750" s="154"/>
      <c r="B750" s="155"/>
      <c r="C750" s="93"/>
    </row>
    <row r="751" spans="1:3" ht="16">
      <c r="A751" s="154"/>
      <c r="B751" s="155"/>
      <c r="C751" s="93"/>
    </row>
    <row r="752" spans="1:3" ht="16">
      <c r="A752" s="154"/>
      <c r="B752" s="155"/>
      <c r="C752" s="93"/>
    </row>
    <row r="753" spans="1:3" ht="16">
      <c r="A753" s="154"/>
      <c r="B753" s="155"/>
      <c r="C753" s="93"/>
    </row>
    <row r="754" spans="1:3" ht="16">
      <c r="A754" s="154"/>
      <c r="B754" s="155"/>
      <c r="C754" s="93"/>
    </row>
    <row r="755" spans="1:3" ht="16">
      <c r="A755" s="154"/>
      <c r="B755" s="155"/>
      <c r="C755" s="93"/>
    </row>
    <row r="756" spans="1:3" ht="16">
      <c r="A756" s="154"/>
      <c r="B756" s="155"/>
      <c r="C756" s="93"/>
    </row>
    <row r="757" spans="1:3" ht="16">
      <c r="A757" s="154"/>
      <c r="B757" s="155"/>
      <c r="C757" s="93"/>
    </row>
    <row r="758" spans="1:3" ht="16">
      <c r="A758" s="154"/>
      <c r="B758" s="155"/>
      <c r="C758" s="93"/>
    </row>
    <row r="759" spans="1:3" ht="16">
      <c r="A759" s="154"/>
      <c r="B759" s="155"/>
      <c r="C759" s="93"/>
    </row>
    <row r="760" spans="1:3" ht="16">
      <c r="A760" s="154"/>
      <c r="B760" s="155"/>
      <c r="C760" s="93"/>
    </row>
    <row r="761" spans="1:3" ht="16">
      <c r="A761" s="154"/>
      <c r="B761" s="155"/>
      <c r="C761" s="93"/>
    </row>
    <row r="762" spans="1:3" ht="16">
      <c r="A762" s="154"/>
      <c r="B762" s="155"/>
      <c r="C762" s="93"/>
    </row>
    <row r="763" spans="1:3" ht="16">
      <c r="A763" s="154"/>
      <c r="B763" s="155"/>
      <c r="C763" s="93"/>
    </row>
    <row r="764" spans="1:3" ht="16">
      <c r="A764" s="154"/>
      <c r="B764" s="155"/>
      <c r="C764" s="93"/>
    </row>
    <row r="765" spans="1:3" ht="16">
      <c r="A765" s="154"/>
      <c r="B765" s="155"/>
      <c r="C765" s="93"/>
    </row>
    <row r="766" spans="1:3" ht="16">
      <c r="A766" s="154"/>
      <c r="B766" s="155"/>
      <c r="C766" s="93"/>
    </row>
    <row r="767" spans="1:3" ht="16">
      <c r="A767" s="154"/>
      <c r="B767" s="155"/>
      <c r="C767" s="93"/>
    </row>
    <row r="768" spans="1:3" ht="16">
      <c r="A768" s="154"/>
      <c r="B768" s="155"/>
      <c r="C768" s="93"/>
    </row>
    <row r="769" spans="1:3" ht="16">
      <c r="A769" s="154"/>
      <c r="B769" s="155"/>
      <c r="C769" s="93"/>
    </row>
    <row r="770" spans="1:3" ht="16">
      <c r="A770" s="154"/>
      <c r="B770" s="155"/>
      <c r="C770" s="93"/>
    </row>
    <row r="771" spans="1:3" ht="16">
      <c r="A771" s="154"/>
      <c r="B771" s="155"/>
      <c r="C771" s="93"/>
    </row>
    <row r="772" spans="1:3" ht="16">
      <c r="A772" s="154"/>
      <c r="B772" s="155"/>
      <c r="C772" s="93"/>
    </row>
    <row r="773" spans="1:3" ht="16">
      <c r="A773" s="154"/>
      <c r="B773" s="155"/>
      <c r="C773" s="93"/>
    </row>
    <row r="774" spans="1:3" ht="16">
      <c r="A774" s="154"/>
      <c r="B774" s="155"/>
      <c r="C774" s="93"/>
    </row>
    <row r="775" spans="1:3" ht="16">
      <c r="A775" s="154"/>
      <c r="B775" s="155"/>
      <c r="C775" s="93"/>
    </row>
    <row r="776" spans="1:3" ht="16">
      <c r="A776" s="154"/>
      <c r="B776" s="155"/>
      <c r="C776" s="93"/>
    </row>
    <row r="777" spans="1:3" ht="16">
      <c r="A777" s="154"/>
      <c r="B777" s="155"/>
      <c r="C777" s="93"/>
    </row>
    <row r="778" spans="1:3" ht="16">
      <c r="A778" s="154"/>
      <c r="B778" s="155"/>
      <c r="C778" s="93"/>
    </row>
    <row r="779" spans="1:3" ht="16">
      <c r="A779" s="154"/>
      <c r="B779" s="155"/>
      <c r="C779" s="93"/>
    </row>
    <row r="780" spans="1:3" ht="16">
      <c r="A780" s="154"/>
      <c r="B780" s="155"/>
      <c r="C780" s="93"/>
    </row>
    <row r="781" spans="1:3" ht="16">
      <c r="A781" s="154"/>
      <c r="B781" s="155"/>
      <c r="C781" s="93"/>
    </row>
    <row r="782" spans="1:3" ht="16">
      <c r="A782" s="154"/>
      <c r="B782" s="155"/>
      <c r="C782" s="93"/>
    </row>
    <row r="783" spans="1:3" ht="16">
      <c r="A783" s="154"/>
      <c r="B783" s="155"/>
      <c r="C783" s="93"/>
    </row>
    <row r="784" spans="1:3" ht="16">
      <c r="A784" s="154"/>
      <c r="B784" s="155"/>
      <c r="C784" s="93"/>
    </row>
    <row r="785" spans="1:3" ht="16">
      <c r="A785" s="154"/>
      <c r="B785" s="155"/>
      <c r="C785" s="93"/>
    </row>
    <row r="786" spans="1:3" ht="16">
      <c r="A786" s="154"/>
      <c r="B786" s="155"/>
      <c r="C786" s="93"/>
    </row>
    <row r="787" spans="1:3" ht="16">
      <c r="A787" s="154"/>
      <c r="B787" s="155"/>
      <c r="C787" s="93"/>
    </row>
    <row r="788" spans="1:3" ht="16">
      <c r="A788" s="154"/>
      <c r="B788" s="155"/>
      <c r="C788" s="93"/>
    </row>
    <row r="789" spans="1:3" ht="16">
      <c r="A789" s="154"/>
      <c r="B789" s="155"/>
      <c r="C789" s="93"/>
    </row>
    <row r="790" spans="1:3" ht="16">
      <c r="A790" s="154"/>
      <c r="B790" s="155"/>
      <c r="C790" s="93"/>
    </row>
    <row r="791" spans="1:3" ht="16">
      <c r="A791" s="154"/>
      <c r="B791" s="155"/>
      <c r="C791" s="93"/>
    </row>
    <row r="792" spans="1:3" ht="16">
      <c r="A792" s="154"/>
      <c r="B792" s="155"/>
      <c r="C792" s="93"/>
    </row>
    <row r="793" spans="1:3" ht="16">
      <c r="A793" s="154"/>
      <c r="B793" s="155"/>
      <c r="C793" s="93"/>
    </row>
    <row r="794" spans="1:3" ht="16">
      <c r="A794" s="154"/>
      <c r="B794" s="155"/>
      <c r="C794" s="93"/>
    </row>
    <row r="795" spans="1:3" ht="16">
      <c r="A795" s="154"/>
      <c r="B795" s="155"/>
      <c r="C795" s="93"/>
    </row>
    <row r="796" spans="1:3" ht="16">
      <c r="A796" s="154"/>
      <c r="B796" s="155"/>
      <c r="C796" s="93"/>
    </row>
    <row r="797" spans="1:3" ht="16">
      <c r="A797" s="154"/>
      <c r="B797" s="155"/>
      <c r="C797" s="93"/>
    </row>
    <row r="798" spans="1:3" ht="16">
      <c r="A798" s="154"/>
      <c r="B798" s="155"/>
      <c r="C798" s="93"/>
    </row>
    <row r="799" spans="1:3" ht="16">
      <c r="A799" s="154"/>
      <c r="B799" s="155"/>
      <c r="C799" s="93"/>
    </row>
    <row r="800" spans="1:3" ht="16">
      <c r="A800" s="154"/>
      <c r="B800" s="155"/>
      <c r="C800" s="93"/>
    </row>
    <row r="801" spans="1:3" ht="16">
      <c r="A801" s="154"/>
      <c r="B801" s="155"/>
      <c r="C801" s="93"/>
    </row>
    <row r="802" spans="1:3" ht="16">
      <c r="A802" s="154"/>
      <c r="B802" s="155"/>
      <c r="C802" s="93"/>
    </row>
    <row r="803" spans="1:3" ht="16">
      <c r="A803" s="154"/>
      <c r="B803" s="155"/>
      <c r="C803" s="93"/>
    </row>
    <row r="804" spans="1:3" ht="16">
      <c r="A804" s="154"/>
      <c r="B804" s="155"/>
      <c r="C804" s="93"/>
    </row>
    <row r="805" spans="1:3" ht="16">
      <c r="A805" s="154"/>
      <c r="B805" s="155"/>
      <c r="C805" s="93"/>
    </row>
    <row r="806" spans="1:3" ht="16">
      <c r="A806" s="154"/>
      <c r="B806" s="155"/>
      <c r="C806" s="93"/>
    </row>
    <row r="807" spans="1:3" ht="16">
      <c r="A807" s="154"/>
      <c r="B807" s="155"/>
      <c r="C807" s="93"/>
    </row>
    <row r="808" spans="1:3" ht="16">
      <c r="A808" s="154"/>
      <c r="B808" s="155"/>
      <c r="C808" s="93"/>
    </row>
    <row r="809" spans="1:3" ht="16">
      <c r="A809" s="154"/>
      <c r="B809" s="155"/>
      <c r="C809" s="93"/>
    </row>
    <row r="810" spans="1:3" ht="16">
      <c r="A810" s="154"/>
      <c r="B810" s="155"/>
      <c r="C810" s="93"/>
    </row>
    <row r="811" spans="1:3" ht="16">
      <c r="A811" s="154"/>
      <c r="B811" s="155"/>
      <c r="C811" s="93"/>
    </row>
    <row r="812" spans="1:3" ht="16">
      <c r="A812" s="154"/>
      <c r="B812" s="155"/>
      <c r="C812" s="93"/>
    </row>
    <row r="813" spans="1:3" ht="16">
      <c r="A813" s="154"/>
      <c r="B813" s="155"/>
      <c r="C813" s="93"/>
    </row>
    <row r="814" spans="1:3" ht="16">
      <c r="A814" s="154"/>
      <c r="B814" s="155"/>
      <c r="C814" s="93"/>
    </row>
    <row r="815" spans="1:3" ht="16">
      <c r="A815" s="154"/>
      <c r="B815" s="155"/>
      <c r="C815" s="93"/>
    </row>
    <row r="816" spans="1:3" ht="16">
      <c r="A816" s="154"/>
      <c r="B816" s="155"/>
      <c r="C816" s="93"/>
    </row>
    <row r="817" spans="1:3" ht="16">
      <c r="A817" s="154"/>
      <c r="B817" s="155"/>
      <c r="C817" s="93"/>
    </row>
    <row r="818" spans="1:3" ht="16">
      <c r="A818" s="154"/>
      <c r="B818" s="155"/>
      <c r="C818" s="93"/>
    </row>
    <row r="819" spans="1:3" ht="16">
      <c r="A819" s="154"/>
      <c r="B819" s="155"/>
      <c r="C819" s="93"/>
    </row>
    <row r="820" spans="1:3" ht="16">
      <c r="A820" s="154"/>
      <c r="B820" s="155"/>
      <c r="C820" s="93"/>
    </row>
    <row r="821" spans="1:3" ht="16">
      <c r="A821" s="154"/>
      <c r="B821" s="155"/>
      <c r="C821" s="93"/>
    </row>
    <row r="822" spans="1:3" ht="16">
      <c r="A822" s="154"/>
      <c r="B822" s="155"/>
      <c r="C822" s="93"/>
    </row>
    <row r="823" spans="1:3" ht="16">
      <c r="A823" s="154"/>
      <c r="B823" s="155"/>
      <c r="C823" s="93"/>
    </row>
    <row r="824" spans="1:3" ht="16">
      <c r="A824" s="154"/>
      <c r="B824" s="155"/>
      <c r="C824" s="93"/>
    </row>
    <row r="825" spans="1:3" ht="16">
      <c r="A825" s="154"/>
      <c r="B825" s="155"/>
      <c r="C825" s="93"/>
    </row>
    <row r="826" spans="1:3" ht="16">
      <c r="A826" s="154"/>
      <c r="B826" s="155"/>
      <c r="C826" s="93"/>
    </row>
    <row r="827" spans="1:3" ht="16">
      <c r="A827" s="154"/>
      <c r="B827" s="155"/>
      <c r="C827" s="93"/>
    </row>
    <row r="828" spans="1:3" ht="16">
      <c r="A828" s="154"/>
      <c r="B828" s="155"/>
      <c r="C828" s="93"/>
    </row>
    <row r="829" spans="1:3" ht="16">
      <c r="A829" s="154"/>
      <c r="B829" s="155"/>
      <c r="C829" s="93"/>
    </row>
    <row r="830" spans="1:3" ht="16">
      <c r="A830" s="154"/>
      <c r="B830" s="155"/>
      <c r="C830" s="93"/>
    </row>
    <row r="831" spans="1:3" ht="16">
      <c r="A831" s="154"/>
      <c r="B831" s="155"/>
      <c r="C831" s="93"/>
    </row>
    <row r="832" spans="1:3" ht="16">
      <c r="A832" s="154"/>
      <c r="B832" s="155"/>
      <c r="C832" s="93"/>
    </row>
    <row r="833" spans="1:3" ht="16">
      <c r="A833" s="154"/>
      <c r="B833" s="155"/>
      <c r="C833" s="93"/>
    </row>
    <row r="834" spans="1:3" ht="16">
      <c r="A834" s="154"/>
      <c r="B834" s="155"/>
      <c r="C834" s="93"/>
    </row>
    <row r="835" spans="1:3" ht="16">
      <c r="A835" s="154"/>
      <c r="B835" s="155"/>
      <c r="C835" s="93"/>
    </row>
    <row r="836" spans="1:3" ht="16">
      <c r="A836" s="154"/>
      <c r="B836" s="155"/>
      <c r="C836" s="93"/>
    </row>
    <row r="837" spans="1:3" ht="16">
      <c r="A837" s="154"/>
      <c r="B837" s="155"/>
      <c r="C837" s="93"/>
    </row>
    <row r="838" spans="1:3" ht="16">
      <c r="A838" s="154"/>
      <c r="B838" s="155"/>
      <c r="C838" s="93"/>
    </row>
    <row r="839" spans="1:3" ht="16">
      <c r="A839" s="154"/>
      <c r="B839" s="155"/>
      <c r="C839" s="93"/>
    </row>
    <row r="840" spans="1:3" ht="16">
      <c r="A840" s="154"/>
      <c r="B840" s="155"/>
      <c r="C840" s="93"/>
    </row>
    <row r="841" spans="1:3" ht="16">
      <c r="A841" s="154"/>
      <c r="B841" s="155"/>
      <c r="C841" s="93"/>
    </row>
    <row r="842" spans="1:3" ht="16">
      <c r="A842" s="154"/>
      <c r="B842" s="155"/>
      <c r="C842" s="93"/>
    </row>
    <row r="843" spans="1:3" ht="16">
      <c r="A843" s="154"/>
      <c r="B843" s="155"/>
      <c r="C843" s="93"/>
    </row>
    <row r="844" spans="1:3" ht="16">
      <c r="A844" s="154"/>
      <c r="B844" s="155"/>
      <c r="C844" s="93"/>
    </row>
    <row r="845" spans="1:3" ht="16">
      <c r="A845" s="154"/>
      <c r="B845" s="155"/>
      <c r="C845" s="93"/>
    </row>
    <row r="846" spans="1:3" ht="16">
      <c r="A846" s="154"/>
      <c r="B846" s="155"/>
      <c r="C846" s="93"/>
    </row>
    <row r="847" spans="1:3" ht="16">
      <c r="A847" s="154"/>
      <c r="B847" s="155"/>
      <c r="C847" s="93"/>
    </row>
    <row r="848" spans="1:3" ht="16">
      <c r="A848" s="154"/>
      <c r="B848" s="155"/>
      <c r="C848" s="93"/>
    </row>
    <row r="849" spans="1:3" ht="16">
      <c r="A849" s="154"/>
      <c r="B849" s="155"/>
      <c r="C849" s="93"/>
    </row>
    <row r="850" spans="1:3" ht="16">
      <c r="A850" s="154"/>
      <c r="B850" s="155"/>
      <c r="C850" s="93"/>
    </row>
    <row r="851" spans="1:3" ht="16">
      <c r="A851" s="154"/>
      <c r="B851" s="155"/>
      <c r="C851" s="93"/>
    </row>
    <row r="852" spans="1:3" ht="16">
      <c r="A852" s="154"/>
      <c r="B852" s="155"/>
      <c r="C852" s="93"/>
    </row>
    <row r="853" spans="1:3" ht="16">
      <c r="A853" s="154"/>
      <c r="B853" s="155"/>
      <c r="C853" s="93"/>
    </row>
    <row r="854" spans="1:3" ht="16">
      <c r="A854" s="154"/>
      <c r="B854" s="155"/>
      <c r="C854" s="93"/>
    </row>
    <row r="855" spans="1:3" ht="16">
      <c r="A855" s="154"/>
      <c r="B855" s="155"/>
      <c r="C855" s="93"/>
    </row>
    <row r="856" spans="1:3" ht="16">
      <c r="A856" s="154"/>
      <c r="B856" s="155"/>
      <c r="C856" s="93"/>
    </row>
    <row r="857" spans="1:3" ht="16">
      <c r="A857" s="154"/>
      <c r="B857" s="155"/>
      <c r="C857" s="93"/>
    </row>
    <row r="858" spans="1:3" ht="16">
      <c r="A858" s="154"/>
      <c r="B858" s="155"/>
      <c r="C858" s="93"/>
    </row>
    <row r="859" spans="1:3" ht="16">
      <c r="A859" s="154"/>
      <c r="B859" s="155"/>
      <c r="C859" s="93"/>
    </row>
    <row r="860" spans="1:3" ht="16">
      <c r="A860" s="154"/>
      <c r="B860" s="155"/>
      <c r="C860" s="93"/>
    </row>
    <row r="861" spans="1:3" ht="16">
      <c r="A861" s="154"/>
      <c r="B861" s="155"/>
      <c r="C861" s="93"/>
    </row>
    <row r="862" spans="1:3" ht="16">
      <c r="A862" s="154"/>
      <c r="B862" s="155"/>
      <c r="C862" s="93"/>
    </row>
    <row r="863" spans="1:3" ht="16">
      <c r="A863" s="154"/>
      <c r="B863" s="155"/>
      <c r="C863" s="93"/>
    </row>
    <row r="864" spans="1:3" ht="16">
      <c r="A864" s="154"/>
      <c r="B864" s="155"/>
      <c r="C864" s="93"/>
    </row>
    <row r="865" spans="1:3" ht="16">
      <c r="A865" s="154"/>
      <c r="B865" s="155"/>
      <c r="C865" s="93"/>
    </row>
    <row r="866" spans="1:3" ht="16">
      <c r="A866" s="154"/>
      <c r="B866" s="155"/>
      <c r="C866" s="93"/>
    </row>
    <row r="867" spans="1:3" ht="16">
      <c r="A867" s="154"/>
      <c r="B867" s="155"/>
      <c r="C867" s="93"/>
    </row>
    <row r="868" spans="1:3" ht="16">
      <c r="A868" s="154"/>
      <c r="B868" s="155"/>
      <c r="C868" s="93"/>
    </row>
    <row r="869" spans="1:3" ht="16">
      <c r="A869" s="154"/>
      <c r="B869" s="155"/>
      <c r="C869" s="93"/>
    </row>
    <row r="870" spans="1:3" ht="16">
      <c r="A870" s="154"/>
      <c r="B870" s="155"/>
      <c r="C870" s="93"/>
    </row>
    <row r="871" spans="1:3" ht="16">
      <c r="A871" s="154"/>
      <c r="B871" s="155"/>
      <c r="C871" s="93"/>
    </row>
    <row r="872" spans="1:3" ht="16">
      <c r="A872" s="154"/>
      <c r="B872" s="155"/>
      <c r="C872" s="93"/>
    </row>
    <row r="873" spans="1:3" ht="16">
      <c r="A873" s="154"/>
      <c r="B873" s="155"/>
      <c r="C873" s="93"/>
    </row>
    <row r="874" spans="1:3" ht="16">
      <c r="A874" s="154"/>
      <c r="B874" s="155"/>
      <c r="C874" s="93"/>
    </row>
    <row r="875" spans="1:3" ht="16">
      <c r="A875" s="154"/>
      <c r="B875" s="155"/>
      <c r="C875" s="93"/>
    </row>
    <row r="876" spans="1:3" ht="16">
      <c r="A876" s="154"/>
      <c r="B876" s="155"/>
      <c r="C876" s="93"/>
    </row>
    <row r="877" spans="1:3" ht="16">
      <c r="A877" s="154"/>
      <c r="B877" s="155"/>
      <c r="C877" s="93"/>
    </row>
    <row r="878" spans="1:3" ht="16">
      <c r="A878" s="154"/>
      <c r="B878" s="155"/>
      <c r="C878" s="93"/>
    </row>
    <row r="879" spans="1:3" ht="16">
      <c r="A879" s="154"/>
      <c r="B879" s="155"/>
      <c r="C879" s="93"/>
    </row>
    <row r="880" spans="1:3" ht="16">
      <c r="A880" s="154"/>
      <c r="B880" s="155"/>
      <c r="C880" s="93"/>
    </row>
    <row r="881" spans="1:3" ht="16">
      <c r="A881" s="154"/>
      <c r="B881" s="155"/>
      <c r="C881" s="93"/>
    </row>
    <row r="882" spans="1:3" ht="16">
      <c r="A882" s="154"/>
      <c r="B882" s="155"/>
      <c r="C882" s="93"/>
    </row>
    <row r="883" spans="1:3" ht="16">
      <c r="A883" s="154"/>
      <c r="B883" s="155"/>
      <c r="C883" s="93"/>
    </row>
    <row r="884" spans="1:3" ht="16">
      <c r="A884" s="154"/>
      <c r="B884" s="155"/>
      <c r="C884" s="93"/>
    </row>
    <row r="885" spans="1:3" ht="16">
      <c r="A885" s="154"/>
      <c r="B885" s="155"/>
      <c r="C885" s="93"/>
    </row>
    <row r="886" spans="1:3" ht="16">
      <c r="A886" s="154"/>
      <c r="B886" s="155"/>
      <c r="C886" s="93"/>
    </row>
    <row r="887" spans="1:3" ht="16">
      <c r="A887" s="154"/>
      <c r="B887" s="155"/>
      <c r="C887" s="93"/>
    </row>
    <row r="888" spans="1:3" ht="16">
      <c r="A888" s="154"/>
      <c r="B888" s="155"/>
      <c r="C888" s="93"/>
    </row>
    <row r="889" spans="1:3" ht="16">
      <c r="A889" s="154"/>
      <c r="B889" s="155"/>
      <c r="C889" s="93"/>
    </row>
    <row r="890" spans="1:3" ht="16">
      <c r="A890" s="154"/>
      <c r="B890" s="155"/>
      <c r="C890" s="93"/>
    </row>
    <row r="891" spans="1:3" ht="16">
      <c r="A891" s="154"/>
      <c r="B891" s="155"/>
      <c r="C891" s="93"/>
    </row>
    <row r="892" spans="1:3" ht="16">
      <c r="A892" s="154"/>
      <c r="B892" s="155"/>
      <c r="C892" s="93"/>
    </row>
    <row r="893" spans="1:3" ht="16">
      <c r="A893" s="154"/>
      <c r="B893" s="155"/>
      <c r="C893" s="93"/>
    </row>
    <row r="894" spans="1:3" ht="16">
      <c r="A894" s="154"/>
      <c r="B894" s="155"/>
      <c r="C894" s="93"/>
    </row>
    <row r="895" spans="1:3" ht="16">
      <c r="A895" s="154"/>
      <c r="B895" s="155"/>
      <c r="C895" s="93"/>
    </row>
    <row r="896" spans="1:3" ht="16">
      <c r="A896" s="154"/>
      <c r="B896" s="155"/>
      <c r="C896" s="93"/>
    </row>
    <row r="897" spans="1:3" ht="16">
      <c r="A897" s="154"/>
      <c r="B897" s="155"/>
      <c r="C897" s="93"/>
    </row>
    <row r="898" spans="1:3" ht="16">
      <c r="A898" s="154"/>
      <c r="B898" s="155"/>
      <c r="C898" s="93"/>
    </row>
    <row r="899" spans="1:3" ht="16">
      <c r="A899" s="154"/>
      <c r="B899" s="155"/>
      <c r="C899" s="93"/>
    </row>
    <row r="900" spans="1:3" ht="16">
      <c r="A900" s="154"/>
      <c r="B900" s="155"/>
      <c r="C900" s="93"/>
    </row>
    <row r="901" spans="1:3" ht="16">
      <c r="A901" s="154"/>
      <c r="B901" s="155"/>
      <c r="C901" s="93"/>
    </row>
    <row r="902" spans="1:3" ht="16">
      <c r="A902" s="154"/>
      <c r="B902" s="155"/>
      <c r="C902" s="93"/>
    </row>
    <row r="903" spans="1:3" ht="16">
      <c r="A903" s="154"/>
      <c r="B903" s="155"/>
      <c r="C903" s="93"/>
    </row>
    <row r="904" spans="1:3" ht="16">
      <c r="A904" s="154"/>
      <c r="B904" s="155"/>
      <c r="C904" s="93"/>
    </row>
    <row r="905" spans="1:3" ht="16">
      <c r="A905" s="154"/>
      <c r="B905" s="155"/>
      <c r="C905" s="93"/>
    </row>
    <row r="906" spans="1:3" ht="16">
      <c r="A906" s="154"/>
      <c r="B906" s="155"/>
      <c r="C906" s="93"/>
    </row>
    <row r="907" spans="1:3" ht="16">
      <c r="A907" s="154"/>
      <c r="B907" s="155"/>
      <c r="C907" s="93"/>
    </row>
    <row r="908" spans="1:3" ht="16">
      <c r="A908" s="154"/>
      <c r="B908" s="155"/>
      <c r="C908" s="93"/>
    </row>
    <row r="909" spans="1:3" ht="16">
      <c r="A909" s="154"/>
      <c r="B909" s="155"/>
      <c r="C909" s="93"/>
    </row>
    <row r="910" spans="1:3" ht="16">
      <c r="A910" s="154"/>
      <c r="B910" s="155"/>
      <c r="C910" s="93"/>
    </row>
    <row r="911" spans="1:3" ht="16">
      <c r="A911" s="154"/>
      <c r="B911" s="155"/>
      <c r="C911" s="93"/>
    </row>
    <row r="912" spans="1:3" ht="16">
      <c r="A912" s="154"/>
      <c r="B912" s="155"/>
      <c r="C912" s="93"/>
    </row>
    <row r="913" spans="1:3" ht="16">
      <c r="A913" s="154"/>
      <c r="B913" s="155"/>
      <c r="C913" s="93"/>
    </row>
    <row r="914" spans="1:3" ht="16">
      <c r="A914" s="154"/>
      <c r="B914" s="155"/>
      <c r="C914" s="93"/>
    </row>
    <row r="915" spans="1:3" ht="16">
      <c r="A915" s="154"/>
      <c r="B915" s="155"/>
      <c r="C915" s="93"/>
    </row>
    <row r="916" spans="1:3" ht="16">
      <c r="A916" s="154"/>
      <c r="B916" s="155"/>
      <c r="C916" s="93"/>
    </row>
    <row r="917" spans="1:3" ht="16">
      <c r="A917" s="154"/>
      <c r="B917" s="155"/>
      <c r="C917" s="93"/>
    </row>
    <row r="918" spans="1:3" ht="16">
      <c r="A918" s="154"/>
      <c r="B918" s="155"/>
      <c r="C918" s="93"/>
    </row>
    <row r="919" spans="1:3" ht="16">
      <c r="A919" s="154"/>
      <c r="B919" s="155"/>
      <c r="C919" s="93"/>
    </row>
    <row r="920" spans="1:3" ht="16">
      <c r="A920" s="154"/>
      <c r="B920" s="155"/>
      <c r="C920" s="93"/>
    </row>
    <row r="921" spans="1:3" ht="16">
      <c r="A921" s="154"/>
      <c r="B921" s="155"/>
      <c r="C921" s="93"/>
    </row>
    <row r="922" spans="1:3" ht="16">
      <c r="A922" s="154"/>
      <c r="B922" s="155"/>
      <c r="C922" s="93"/>
    </row>
    <row r="923" spans="1:3" ht="16">
      <c r="A923" s="154"/>
      <c r="B923" s="155"/>
      <c r="C923" s="93"/>
    </row>
    <row r="924" spans="1:3" ht="16">
      <c r="A924" s="154"/>
      <c r="B924" s="155"/>
      <c r="C924" s="93"/>
    </row>
    <row r="925" spans="1:3" ht="16">
      <c r="A925" s="154"/>
      <c r="B925" s="155"/>
      <c r="C925" s="93"/>
    </row>
    <row r="926" spans="1:3" ht="16">
      <c r="A926" s="154"/>
      <c r="B926" s="155"/>
      <c r="C926" s="93"/>
    </row>
    <row r="927" spans="1:3" ht="16">
      <c r="A927" s="154"/>
      <c r="B927" s="155"/>
      <c r="C927" s="93"/>
    </row>
    <row r="928" spans="1:3" ht="16">
      <c r="A928" s="154"/>
      <c r="B928" s="155"/>
      <c r="C928" s="93"/>
    </row>
    <row r="929" spans="1:3" ht="16">
      <c r="A929" s="154"/>
      <c r="B929" s="155"/>
      <c r="C929" s="93"/>
    </row>
    <row r="930" spans="1:3" ht="16">
      <c r="A930" s="154"/>
      <c r="B930" s="155"/>
      <c r="C930" s="93"/>
    </row>
    <row r="931" spans="1:3" ht="16">
      <c r="A931" s="154"/>
      <c r="B931" s="155"/>
      <c r="C931" s="93"/>
    </row>
    <row r="932" spans="1:3" ht="16">
      <c r="A932" s="154"/>
      <c r="B932" s="155"/>
      <c r="C932" s="93"/>
    </row>
    <row r="933" spans="1:3" ht="16">
      <c r="A933" s="154"/>
      <c r="B933" s="155"/>
      <c r="C933" s="93"/>
    </row>
    <row r="934" spans="1:3" ht="16">
      <c r="A934" s="154"/>
      <c r="B934" s="155"/>
      <c r="C934" s="93"/>
    </row>
    <row r="935" spans="1:3" ht="16">
      <c r="A935" s="154"/>
      <c r="B935" s="155"/>
      <c r="C935" s="93"/>
    </row>
    <row r="936" spans="1:3" ht="16">
      <c r="A936" s="154"/>
      <c r="B936" s="155"/>
      <c r="C936" s="93"/>
    </row>
    <row r="937" spans="1:3" ht="16">
      <c r="A937" s="154"/>
      <c r="B937" s="155"/>
      <c r="C937" s="93"/>
    </row>
    <row r="938" spans="1:3" ht="16">
      <c r="A938" s="154"/>
      <c r="B938" s="155"/>
      <c r="C938" s="93"/>
    </row>
    <row r="939" spans="1:3" ht="16">
      <c r="A939" s="154"/>
      <c r="B939" s="155"/>
      <c r="C939" s="93"/>
    </row>
    <row r="940" spans="1:3" ht="16">
      <c r="A940" s="154"/>
      <c r="B940" s="155"/>
      <c r="C940" s="93"/>
    </row>
    <row r="941" spans="1:3" ht="16">
      <c r="A941" s="154"/>
      <c r="B941" s="155"/>
      <c r="C941" s="93"/>
    </row>
    <row r="942" spans="1:3" ht="16">
      <c r="A942" s="154"/>
      <c r="B942" s="155"/>
      <c r="C942" s="93"/>
    </row>
    <row r="943" spans="1:3" ht="16">
      <c r="A943" s="154"/>
      <c r="B943" s="155"/>
      <c r="C943" s="93"/>
    </row>
    <row r="944" spans="1:3" ht="16">
      <c r="A944" s="154"/>
      <c r="B944" s="155"/>
      <c r="C944" s="93"/>
    </row>
    <row r="945" spans="1:3" ht="16">
      <c r="A945" s="154"/>
      <c r="B945" s="155"/>
      <c r="C945" s="93"/>
    </row>
    <row r="946" spans="1:3" ht="16">
      <c r="A946" s="154"/>
      <c r="B946" s="155"/>
      <c r="C946" s="93"/>
    </row>
    <row r="947" spans="1:3" ht="16">
      <c r="A947" s="154"/>
      <c r="B947" s="155"/>
      <c r="C947" s="93"/>
    </row>
    <row r="948" spans="1:3" ht="16">
      <c r="A948" s="154"/>
      <c r="B948" s="155"/>
      <c r="C948" s="93"/>
    </row>
    <row r="949" spans="1:3" ht="16">
      <c r="A949" s="154"/>
      <c r="B949" s="155"/>
      <c r="C949" s="93"/>
    </row>
    <row r="950" spans="1:3" ht="16">
      <c r="A950" s="154"/>
      <c r="B950" s="155"/>
      <c r="C950" s="93"/>
    </row>
    <row r="951" spans="1:3" ht="16">
      <c r="A951" s="154"/>
      <c r="B951" s="155"/>
      <c r="C951" s="93"/>
    </row>
    <row r="952" spans="1:3" ht="16">
      <c r="A952" s="154"/>
      <c r="B952" s="155"/>
      <c r="C952" s="93"/>
    </row>
    <row r="953" spans="1:3" ht="16">
      <c r="A953" s="154"/>
      <c r="B953" s="155"/>
      <c r="C953" s="93"/>
    </row>
    <row r="954" spans="1:3" ht="16">
      <c r="A954" s="154"/>
      <c r="B954" s="155"/>
      <c r="C954" s="93"/>
    </row>
    <row r="955" spans="1:3" ht="16">
      <c r="A955" s="154"/>
      <c r="B955" s="155"/>
      <c r="C955" s="93"/>
    </row>
    <row r="956" spans="1:3" ht="16">
      <c r="A956" s="154"/>
      <c r="B956" s="155"/>
      <c r="C956" s="93"/>
    </row>
    <row r="957" spans="1:3" ht="16">
      <c r="A957" s="154"/>
      <c r="B957" s="155"/>
      <c r="C957" s="93"/>
    </row>
    <row r="958" spans="1:3" ht="16">
      <c r="A958" s="154"/>
      <c r="B958" s="155"/>
      <c r="C958" s="93"/>
    </row>
    <row r="959" spans="1:3" ht="16">
      <c r="A959" s="154"/>
      <c r="B959" s="155"/>
      <c r="C959" s="93"/>
    </row>
    <row r="960" spans="1:3" ht="16">
      <c r="A960" s="154"/>
      <c r="B960" s="155"/>
      <c r="C960" s="93"/>
    </row>
    <row r="961" spans="1:3" ht="16">
      <c r="A961" s="154"/>
      <c r="B961" s="155"/>
      <c r="C961" s="93"/>
    </row>
    <row r="962" spans="1:3" ht="16">
      <c r="A962" s="154"/>
      <c r="B962" s="155"/>
      <c r="C962" s="93"/>
    </row>
    <row r="963" spans="1:3" ht="16">
      <c r="A963" s="154"/>
      <c r="B963" s="155"/>
      <c r="C963" s="93"/>
    </row>
    <row r="964" spans="1:3" ht="16">
      <c r="A964" s="154"/>
      <c r="B964" s="155"/>
      <c r="C964" s="93"/>
    </row>
    <row r="965" spans="1:3" ht="16">
      <c r="A965" s="154"/>
      <c r="B965" s="155"/>
      <c r="C965" s="93"/>
    </row>
    <row r="966" spans="1:3" ht="16">
      <c r="A966" s="154"/>
      <c r="B966" s="155"/>
      <c r="C966" s="93"/>
    </row>
    <row r="967" spans="1:3" ht="16">
      <c r="A967" s="154"/>
      <c r="B967" s="155"/>
      <c r="C967" s="93"/>
    </row>
    <row r="968" spans="1:3" ht="16">
      <c r="A968" s="154"/>
      <c r="B968" s="155"/>
      <c r="C968" s="93"/>
    </row>
    <row r="969" spans="1:3" ht="16">
      <c r="A969" s="154"/>
      <c r="B969" s="155"/>
      <c r="C969" s="93"/>
    </row>
    <row r="970" spans="1:3" ht="16">
      <c r="A970" s="154"/>
      <c r="B970" s="155"/>
      <c r="C970" s="93"/>
    </row>
    <row r="971" spans="1:3" ht="16">
      <c r="A971" s="154"/>
      <c r="B971" s="155"/>
      <c r="C971" s="93"/>
    </row>
    <row r="972" spans="1:3" ht="16">
      <c r="A972" s="154"/>
      <c r="B972" s="155"/>
      <c r="C972" s="93"/>
    </row>
    <row r="973" spans="1:3" ht="16">
      <c r="A973" s="154"/>
      <c r="B973" s="155"/>
      <c r="C973" s="93"/>
    </row>
    <row r="974" spans="1:3" ht="16">
      <c r="A974" s="154"/>
      <c r="B974" s="155"/>
      <c r="C974" s="93"/>
    </row>
    <row r="975" spans="1:3" ht="16">
      <c r="A975" s="154"/>
      <c r="B975" s="155"/>
      <c r="C975" s="93"/>
    </row>
    <row r="976" spans="1:3" ht="16">
      <c r="A976" s="154"/>
      <c r="B976" s="155"/>
      <c r="C976" s="93"/>
    </row>
    <row r="977" spans="1:3" ht="16">
      <c r="A977" s="154"/>
      <c r="B977" s="155"/>
      <c r="C977" s="93"/>
    </row>
    <row r="978" spans="1:3" ht="16">
      <c r="A978" s="154"/>
      <c r="B978" s="155"/>
      <c r="C978" s="93"/>
    </row>
    <row r="979" spans="1:3" ht="16">
      <c r="A979" s="154"/>
      <c r="B979" s="155"/>
      <c r="C979" s="93"/>
    </row>
    <row r="980" spans="1:3" ht="16">
      <c r="A980" s="154"/>
      <c r="B980" s="155"/>
      <c r="C980" s="93"/>
    </row>
    <row r="981" spans="1:3" ht="16">
      <c r="A981" s="154"/>
      <c r="B981" s="155"/>
      <c r="C981" s="93"/>
    </row>
    <row r="982" spans="1:3" ht="16">
      <c r="A982" s="154"/>
      <c r="B982" s="155"/>
      <c r="C982" s="93"/>
    </row>
    <row r="983" spans="1:3" ht="16">
      <c r="A983" s="154"/>
      <c r="B983" s="155"/>
      <c r="C983" s="93"/>
    </row>
    <row r="984" spans="1:3" ht="16">
      <c r="A984" s="154"/>
      <c r="B984" s="155"/>
      <c r="C984" s="93"/>
    </row>
    <row r="985" spans="1:3" ht="16">
      <c r="A985" s="154"/>
      <c r="B985" s="155"/>
      <c r="C985" s="93"/>
    </row>
    <row r="986" spans="1:3" ht="16">
      <c r="A986" s="154"/>
      <c r="B986" s="155"/>
      <c r="C986" s="93"/>
    </row>
    <row r="987" spans="1:3" ht="16">
      <c r="A987" s="154"/>
      <c r="B987" s="155"/>
      <c r="C987" s="93"/>
    </row>
    <row r="988" spans="1:3" ht="16">
      <c r="A988" s="154"/>
      <c r="B988" s="155"/>
      <c r="C988" s="93"/>
    </row>
    <row r="989" spans="1:3" ht="16">
      <c r="A989" s="154"/>
      <c r="B989" s="155"/>
      <c r="C989" s="93"/>
    </row>
    <row r="990" spans="1:3" ht="16">
      <c r="A990" s="154"/>
      <c r="B990" s="155"/>
      <c r="C990" s="93"/>
    </row>
    <row r="991" spans="1:3" ht="16">
      <c r="A991" s="154"/>
      <c r="B991" s="155"/>
      <c r="C991" s="93"/>
    </row>
    <row r="992" spans="1:3" ht="16">
      <c r="A992" s="154"/>
      <c r="B992" s="155"/>
      <c r="C992" s="93"/>
    </row>
    <row r="993" spans="1:3" ht="16">
      <c r="A993" s="154"/>
      <c r="B993" s="155"/>
      <c r="C993" s="93"/>
    </row>
    <row r="994" spans="1:3" ht="16">
      <c r="A994" s="154"/>
      <c r="B994" s="155"/>
      <c r="C994" s="93"/>
    </row>
    <row r="995" spans="1:3" ht="16">
      <c r="A995" s="154"/>
      <c r="B995" s="155"/>
      <c r="C995" s="93"/>
    </row>
    <row r="996" spans="1:3" ht="16">
      <c r="A996" s="154"/>
      <c r="B996" s="155"/>
      <c r="C996" s="93"/>
    </row>
    <row r="997" spans="1:3" ht="16">
      <c r="A997" s="154"/>
      <c r="B997" s="155"/>
      <c r="C997" s="93"/>
    </row>
    <row r="998" spans="1:3" ht="16">
      <c r="A998" s="154"/>
      <c r="B998" s="155"/>
      <c r="C998" s="93"/>
    </row>
    <row r="999" spans="1:3" ht="16">
      <c r="A999" s="154"/>
      <c r="B999" s="155"/>
      <c r="C999" s="93"/>
    </row>
    <row r="1000" spans="1:3" ht="16">
      <c r="A1000" s="154"/>
      <c r="B1000" s="155"/>
      <c r="C1000" s="93"/>
    </row>
    <row r="1001" spans="1:3" ht="16">
      <c r="A1001" s="154"/>
      <c r="B1001" s="155"/>
      <c r="C1001" s="93"/>
    </row>
    <row r="1002" spans="1:3" ht="16">
      <c r="A1002" s="154"/>
      <c r="B1002" s="155"/>
      <c r="C1002" s="93"/>
    </row>
    <row r="1003" spans="1:3" ht="16">
      <c r="A1003" s="154"/>
      <c r="B1003" s="155"/>
      <c r="C1003" s="93"/>
    </row>
    <row r="1004" spans="1:3" ht="16">
      <c r="A1004" s="154"/>
      <c r="B1004" s="155"/>
      <c r="C1004" s="93"/>
    </row>
    <row r="1005" spans="1:3" ht="16">
      <c r="A1005" s="154"/>
      <c r="B1005" s="155"/>
      <c r="C1005" s="93"/>
    </row>
    <row r="1006" spans="1:3" ht="16">
      <c r="A1006" s="154"/>
      <c r="B1006" s="155"/>
      <c r="C1006" s="93"/>
    </row>
    <row r="1007" spans="1:3" ht="16">
      <c r="A1007" s="154"/>
      <c r="B1007" s="155"/>
      <c r="C1007" s="93"/>
    </row>
    <row r="1008" spans="1:3" ht="16">
      <c r="A1008" s="154"/>
      <c r="B1008" s="155"/>
      <c r="C1008" s="93"/>
    </row>
    <row r="1009" spans="1:3" ht="16">
      <c r="A1009" s="154"/>
      <c r="B1009" s="155"/>
      <c r="C1009" s="93"/>
    </row>
    <row r="1010" spans="1:3" ht="16">
      <c r="A1010" s="154"/>
      <c r="B1010" s="155"/>
      <c r="C1010" s="93"/>
    </row>
    <row r="1011" spans="1:3" ht="16">
      <c r="A1011" s="154"/>
      <c r="B1011" s="155"/>
      <c r="C1011" s="93"/>
    </row>
    <row r="1012" spans="1:3" ht="16">
      <c r="A1012" s="154"/>
      <c r="B1012" s="155"/>
      <c r="C1012" s="93"/>
    </row>
    <row r="1013" spans="1:3" ht="16">
      <c r="A1013" s="154"/>
      <c r="B1013" s="155"/>
      <c r="C1013" s="93"/>
    </row>
    <row r="1014" spans="1:3" ht="16">
      <c r="A1014" s="154"/>
      <c r="B1014" s="155"/>
      <c r="C1014" s="93"/>
    </row>
    <row r="1015" spans="1:3" ht="16">
      <c r="A1015" s="154"/>
      <c r="B1015" s="155"/>
      <c r="C1015" s="93"/>
    </row>
    <row r="1016" spans="1:3" ht="16">
      <c r="A1016" s="154"/>
      <c r="B1016" s="155"/>
      <c r="C1016" s="93"/>
    </row>
    <row r="1017" spans="1:3" ht="16">
      <c r="A1017" s="154"/>
      <c r="B1017" s="155"/>
      <c r="C1017" s="93"/>
    </row>
    <row r="1018" spans="1:3" ht="16">
      <c r="A1018" s="154"/>
      <c r="B1018" s="155"/>
      <c r="C1018" s="93"/>
    </row>
    <row r="1019" spans="1:3" ht="16">
      <c r="A1019" s="154"/>
      <c r="B1019" s="155"/>
      <c r="C1019" s="93"/>
    </row>
    <row r="1020" spans="1:3" ht="16">
      <c r="A1020" s="154"/>
      <c r="B1020" s="155"/>
      <c r="C1020" s="93"/>
    </row>
    <row r="1021" spans="1:3" ht="16">
      <c r="A1021" s="154"/>
      <c r="B1021" s="155"/>
      <c r="C1021" s="93"/>
    </row>
    <row r="1022" spans="1:3" ht="16">
      <c r="A1022" s="154"/>
      <c r="B1022" s="155"/>
      <c r="C1022" s="93"/>
    </row>
    <row r="1023" spans="1:3" ht="16">
      <c r="A1023" s="154"/>
      <c r="B1023" s="155"/>
      <c r="C1023" s="93"/>
    </row>
    <row r="1024" spans="1:3" ht="16">
      <c r="A1024" s="154"/>
      <c r="B1024" s="155"/>
      <c r="C1024" s="93"/>
    </row>
    <row r="1025" spans="1:3" ht="16">
      <c r="A1025" s="154"/>
      <c r="B1025" s="155"/>
      <c r="C1025" s="93"/>
    </row>
    <row r="1026" spans="1:3" ht="16">
      <c r="A1026" s="154"/>
      <c r="B1026" s="155"/>
      <c r="C1026" s="93"/>
    </row>
    <row r="1027" spans="1:3" ht="16">
      <c r="A1027" s="154"/>
      <c r="B1027" s="155"/>
      <c r="C1027" s="93"/>
    </row>
    <row r="1028" spans="1:3" ht="16">
      <c r="A1028" s="154"/>
      <c r="B1028" s="155"/>
      <c r="C1028" s="93"/>
    </row>
    <row r="1029" spans="1:3" ht="16">
      <c r="A1029" s="154"/>
      <c r="B1029" s="155"/>
      <c r="C1029" s="93"/>
    </row>
    <row r="1030" spans="1:3" ht="16">
      <c r="A1030" s="154"/>
      <c r="B1030" s="155"/>
      <c r="C1030" s="93"/>
    </row>
    <row r="1031" spans="1:3" ht="16">
      <c r="A1031" s="154"/>
      <c r="B1031" s="155"/>
      <c r="C1031" s="93"/>
    </row>
    <row r="1032" spans="1:3" ht="16">
      <c r="A1032" s="154"/>
      <c r="B1032" s="155"/>
      <c r="C1032" s="93"/>
    </row>
    <row r="1033" spans="1:3" ht="16">
      <c r="A1033" s="154"/>
      <c r="B1033" s="155"/>
      <c r="C1033" s="93"/>
    </row>
    <row r="1034" spans="1:3" ht="16">
      <c r="A1034" s="154"/>
      <c r="B1034" s="155"/>
      <c r="C1034" s="93"/>
    </row>
    <row r="1035" spans="1:3" ht="16">
      <c r="A1035" s="154"/>
      <c r="B1035" s="155"/>
      <c r="C1035" s="93"/>
    </row>
    <row r="1036" spans="1:3" ht="16">
      <c r="A1036" s="154"/>
      <c r="B1036" s="155"/>
      <c r="C1036" s="93"/>
    </row>
    <row r="1037" spans="1:3" ht="16">
      <c r="A1037" s="154"/>
      <c r="B1037" s="155"/>
      <c r="C1037" s="93"/>
    </row>
    <row r="1038" spans="1:3" ht="16">
      <c r="A1038" s="154"/>
      <c r="B1038" s="155"/>
      <c r="C1038" s="93"/>
    </row>
    <row r="1039" spans="1:3" ht="16">
      <c r="A1039" s="154"/>
      <c r="B1039" s="155"/>
      <c r="C1039" s="93"/>
    </row>
    <row r="1040" spans="1:3" ht="16">
      <c r="A1040" s="154"/>
      <c r="B1040" s="155"/>
      <c r="C1040" s="93"/>
    </row>
    <row r="1041" spans="1:3" ht="17" thickBot="1">
      <c r="A1041" s="168"/>
      <c r="B1041" s="169"/>
      <c r="C1041" s="93"/>
    </row>
    <row r="1042" spans="1:3" ht="16">
      <c r="A1042" s="170"/>
      <c r="B1042" s="171"/>
      <c r="C1042" s="93"/>
    </row>
    <row r="1043" spans="1:3" ht="16">
      <c r="A1043" s="93"/>
      <c r="B1043" s="93"/>
      <c r="C1043" s="93"/>
    </row>
  </sheetData>
  <mergeCells count="3">
    <mergeCell ref="A20:G20"/>
    <mergeCell ref="A16:G16"/>
    <mergeCell ref="A1:L1"/>
  </mergeCells>
  <phoneticPr fontId="0" type="noConversion"/>
  <pageMargins left="0.75" right="0.75" top="1" bottom="1" header="0.5" footer="0.5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8E32C-5D03-D446-9A2A-6B122B7D4050}">
  <sheetPr codeName="Sheet3">
    <pageSetUpPr fitToPage="1"/>
  </sheetPr>
  <dimension ref="A4:M49"/>
  <sheetViews>
    <sheetView showGridLines="0" topLeftCell="B30" zoomScale="50" zoomScaleNormal="50" workbookViewId="0">
      <selection activeCell="M43" sqref="M43"/>
    </sheetView>
  </sheetViews>
  <sheetFormatPr baseColWidth="10" defaultColWidth="11.5" defaultRowHeight="15"/>
  <cols>
    <col min="1" max="1" width="25.5" customWidth="1"/>
    <col min="2" max="2" width="11.33203125" customWidth="1"/>
    <col min="3" max="11" width="39.33203125" customWidth="1"/>
  </cols>
  <sheetData>
    <row r="4" spans="1:13">
      <c r="B4" s="225" t="s">
        <v>81</v>
      </c>
      <c r="C4" s="225"/>
      <c r="D4" s="225"/>
      <c r="E4" s="225"/>
      <c r="F4" s="225"/>
      <c r="G4" s="225"/>
      <c r="H4" s="225"/>
      <c r="I4" s="225"/>
      <c r="J4" s="225"/>
      <c r="K4" s="225"/>
      <c r="L4" s="225"/>
    </row>
    <row r="5" spans="1:13" ht="15" customHeight="1"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9"/>
    </row>
    <row r="6" spans="1:13">
      <c r="B6" s="225"/>
      <c r="C6" s="225"/>
      <c r="D6" s="225"/>
      <c r="E6" s="225"/>
      <c r="F6" s="225"/>
      <c r="G6" s="225"/>
      <c r="H6" s="225"/>
      <c r="I6" s="225"/>
      <c r="J6" s="225"/>
      <c r="K6" s="225"/>
      <c r="L6" s="225"/>
      <c r="M6" s="9"/>
    </row>
    <row r="7" spans="1:13">
      <c r="B7" s="225"/>
      <c r="C7" s="225"/>
      <c r="D7" s="225"/>
      <c r="E7" s="225"/>
      <c r="F7" s="225"/>
      <c r="G7" s="225"/>
      <c r="H7" s="225"/>
      <c r="I7" s="225"/>
      <c r="J7" s="225"/>
      <c r="K7" s="225"/>
      <c r="L7" s="225"/>
      <c r="M7" s="9"/>
    </row>
    <row r="8" spans="1:13">
      <c r="C8" s="9"/>
      <c r="D8" s="9"/>
      <c r="E8" s="9"/>
      <c r="F8" s="9"/>
      <c r="G8" s="9"/>
      <c r="H8" s="9"/>
      <c r="I8" s="9"/>
      <c r="J8" s="9"/>
      <c r="K8" s="9"/>
      <c r="L8" s="9"/>
      <c r="M8" s="9"/>
    </row>
    <row r="9" spans="1:13" ht="15" customHeight="1">
      <c r="C9" s="9"/>
      <c r="D9" s="226" t="s">
        <v>83</v>
      </c>
      <c r="E9" s="226"/>
      <c r="F9" s="226"/>
      <c r="G9" s="226"/>
      <c r="H9" s="226"/>
      <c r="I9" s="226"/>
      <c r="J9" s="226"/>
      <c r="K9" s="226"/>
      <c r="L9" s="9"/>
      <c r="M9" s="9"/>
    </row>
    <row r="10" spans="1:13" ht="15" customHeight="1">
      <c r="C10" s="9"/>
      <c r="D10" s="226"/>
      <c r="E10" s="226"/>
      <c r="F10" s="226"/>
      <c r="G10" s="226"/>
      <c r="H10" s="226"/>
      <c r="I10" s="226"/>
      <c r="J10" s="226"/>
      <c r="K10" s="226"/>
      <c r="L10" s="9"/>
      <c r="M10" s="9"/>
    </row>
    <row r="11" spans="1:13" ht="15" customHeight="1">
      <c r="D11" s="226"/>
      <c r="E11" s="226"/>
      <c r="F11" s="226"/>
      <c r="G11" s="226"/>
      <c r="H11" s="226"/>
      <c r="I11" s="226"/>
      <c r="J11" s="226"/>
      <c r="K11" s="226"/>
      <c r="M11" s="9"/>
    </row>
    <row r="12" spans="1:13" ht="15" customHeight="1">
      <c r="D12" s="226"/>
      <c r="E12" s="226"/>
      <c r="F12" s="226"/>
      <c r="G12" s="226"/>
      <c r="H12" s="226"/>
      <c r="I12" s="226"/>
      <c r="J12" s="226"/>
      <c r="K12" s="226"/>
      <c r="M12" s="9"/>
    </row>
    <row r="13" spans="1:13" ht="15" customHeight="1">
      <c r="D13" s="226"/>
      <c r="E13" s="226"/>
      <c r="F13" s="226"/>
      <c r="G13" s="226"/>
      <c r="H13" s="226"/>
      <c r="I13" s="226"/>
      <c r="J13" s="226"/>
      <c r="K13" s="226"/>
    </row>
    <row r="14" spans="1:13">
      <c r="C14" s="11"/>
      <c r="D14" s="11"/>
      <c r="E14" s="11"/>
      <c r="F14" s="11"/>
      <c r="G14" s="11"/>
      <c r="H14" s="11"/>
      <c r="I14" s="11"/>
      <c r="J14" s="11"/>
      <c r="K14" s="11"/>
    </row>
    <row r="15" spans="1:13">
      <c r="A15" s="9"/>
      <c r="B15" s="9"/>
      <c r="C15" s="9"/>
      <c r="D15" s="9"/>
      <c r="E15" s="9"/>
      <c r="F15" s="9"/>
      <c r="G15" s="9"/>
      <c r="H15" s="9"/>
      <c r="I15" s="9"/>
    </row>
    <row r="16" spans="1:13">
      <c r="A16" s="208"/>
      <c r="B16" s="208"/>
      <c r="C16" s="208"/>
      <c r="D16" s="208"/>
      <c r="E16" s="208"/>
      <c r="F16" s="208"/>
      <c r="G16" s="208"/>
      <c r="H16" s="208"/>
      <c r="I16" s="208"/>
    </row>
    <row r="17" spans="3:11">
      <c r="C17" s="238" t="s">
        <v>63</v>
      </c>
      <c r="D17" s="238" t="s">
        <v>62</v>
      </c>
      <c r="E17" s="238" t="s">
        <v>0</v>
      </c>
      <c r="F17" s="238" t="s">
        <v>40</v>
      </c>
      <c r="G17" s="238" t="s">
        <v>47</v>
      </c>
      <c r="H17" s="238" t="s">
        <v>46</v>
      </c>
      <c r="I17" s="227" t="s">
        <v>60</v>
      </c>
      <c r="J17" s="227" t="s">
        <v>50</v>
      </c>
      <c r="K17" s="227" t="s">
        <v>61</v>
      </c>
    </row>
    <row r="18" spans="3:11">
      <c r="C18" s="238"/>
      <c r="D18" s="238"/>
      <c r="E18" s="238"/>
      <c r="F18" s="238"/>
      <c r="G18" s="238"/>
      <c r="H18" s="238"/>
      <c r="I18" s="227"/>
      <c r="J18" s="227"/>
      <c r="K18" s="227"/>
    </row>
    <row r="19" spans="3:11" ht="25">
      <c r="C19" s="90">
        <v>1</v>
      </c>
      <c r="D19" s="176">
        <f>Pharma!E43</f>
        <v>25000</v>
      </c>
      <c r="E19" s="91">
        <f>Pharma!F43</f>
        <v>157699.25433999998</v>
      </c>
      <c r="F19" s="91">
        <f>Pharma!G43</f>
        <v>138920.96290000001</v>
      </c>
      <c r="G19" s="91">
        <f>Pharma!H43</f>
        <v>185142.68109999999</v>
      </c>
      <c r="H19" s="91">
        <f>Pharma!I43</f>
        <v>13816.733798101099</v>
      </c>
      <c r="I19" s="92">
        <f>Pharma!J43</f>
        <v>7187.3913490145887</v>
      </c>
      <c r="J19" s="92">
        <f>Pharma!K43</f>
        <v>150511.86299098539</v>
      </c>
      <c r="K19" s="92">
        <f>Pharma!L43</f>
        <v>164886.64568901458</v>
      </c>
    </row>
    <row r="20" spans="3:11" ht="25">
      <c r="C20" s="90">
        <v>2</v>
      </c>
      <c r="D20" s="176">
        <f>Pharma!E44</f>
        <v>28000</v>
      </c>
      <c r="E20" s="91">
        <f>Pharma!F44</f>
        <v>173105.35446</v>
      </c>
      <c r="F20" s="91">
        <f>Pharma!G44</f>
        <v>142531.72390000001</v>
      </c>
      <c r="G20" s="91">
        <f>Pharma!H44</f>
        <v>194448.60740000001</v>
      </c>
      <c r="H20" s="91">
        <f>Pharma!I44</f>
        <v>16843.485337891292</v>
      </c>
      <c r="I20" s="92">
        <f>Pharma!J44</f>
        <v>8761.8913828572076</v>
      </c>
      <c r="J20" s="92">
        <f>Pharma!K44</f>
        <v>164343.46307714281</v>
      </c>
      <c r="K20" s="92">
        <f>Pharma!L44</f>
        <v>181867.2458428572</v>
      </c>
    </row>
    <row r="21" spans="3:11" ht="25">
      <c r="C21" s="90">
        <v>3</v>
      </c>
      <c r="D21" s="176">
        <f>Pharma!E45</f>
        <v>31000</v>
      </c>
      <c r="E21" s="91">
        <f>Pharma!F45</f>
        <v>202654.32239000004</v>
      </c>
      <c r="F21" s="91">
        <f>Pharma!G45</f>
        <v>167226.15919999999</v>
      </c>
      <c r="G21" s="91">
        <f>Pharma!H45</f>
        <v>236990.0913</v>
      </c>
      <c r="H21" s="91">
        <f>Pharma!I45</f>
        <v>19787.900396544515</v>
      </c>
      <c r="I21" s="92">
        <f>Pharma!J45</f>
        <v>10293.560417646091</v>
      </c>
      <c r="J21" s="92">
        <f>Pharma!K45</f>
        <v>192360.76197235397</v>
      </c>
      <c r="K21" s="92">
        <f>Pharma!L45</f>
        <v>212947.88280764612</v>
      </c>
    </row>
    <row r="22" spans="3:11" ht="25">
      <c r="C22" s="90">
        <v>4</v>
      </c>
      <c r="D22" s="176">
        <f>Pharma!E46</f>
        <v>34000</v>
      </c>
      <c r="E22" s="91">
        <f>Pharma!F46</f>
        <v>209171.94162</v>
      </c>
      <c r="F22" s="91">
        <f>Pharma!G46</f>
        <v>155895.8756</v>
      </c>
      <c r="G22" s="91">
        <f>Pharma!H46</f>
        <v>260256.32060000001</v>
      </c>
      <c r="H22" s="91">
        <f>Pharma!I46</f>
        <v>36321.122143512541</v>
      </c>
      <c r="I22" s="92">
        <f>Pharma!J46</f>
        <v>18894.054332628326</v>
      </c>
      <c r="J22" s="92">
        <f>Pharma!K46</f>
        <v>190277.88728737168</v>
      </c>
      <c r="K22" s="92">
        <f>Pharma!L46</f>
        <v>228065.99595262832</v>
      </c>
    </row>
    <row r="23" spans="3:11" ht="25">
      <c r="C23" s="90">
        <v>5</v>
      </c>
      <c r="D23" s="176">
        <f>Pharma!E47</f>
        <v>37000</v>
      </c>
      <c r="E23" s="91">
        <f>Pharma!F47</f>
        <v>202274.25521000003</v>
      </c>
      <c r="F23" s="91">
        <f>Pharma!G47</f>
        <v>161500.10089999999</v>
      </c>
      <c r="G23" s="91">
        <f>Pharma!H47</f>
        <v>242094.3241</v>
      </c>
      <c r="H23" s="91">
        <f>Pharma!I47</f>
        <v>27137.800788734166</v>
      </c>
      <c r="I23" s="92">
        <f>Pharma!J47</f>
        <v>14116.939464161633</v>
      </c>
      <c r="J23" s="92">
        <f>Pharma!K47</f>
        <v>188157.31574583839</v>
      </c>
      <c r="K23" s="92">
        <f>Pharma!L47</f>
        <v>216391.19467416167</v>
      </c>
    </row>
    <row r="24" spans="3:11" ht="25">
      <c r="C24" s="90">
        <v>6</v>
      </c>
      <c r="D24" s="176">
        <f>Pharma!E48</f>
        <v>40000</v>
      </c>
      <c r="E24" s="91">
        <f>Pharma!F48</f>
        <v>216029.69066000002</v>
      </c>
      <c r="F24" s="91">
        <f>Pharma!G48</f>
        <v>167045.58119999999</v>
      </c>
      <c r="G24" s="91">
        <f>Pharma!H48</f>
        <v>249192.6415</v>
      </c>
      <c r="H24" s="91">
        <f>Pharma!I48</f>
        <v>24751.047386085404</v>
      </c>
      <c r="I24" s="92">
        <f>Pharma!J48</f>
        <v>12875.363053332432</v>
      </c>
      <c r="J24" s="92">
        <f>Pharma!K48</f>
        <v>203154.32760666759</v>
      </c>
      <c r="K24" s="92">
        <f>Pharma!L48</f>
        <v>228905.05371333245</v>
      </c>
    </row>
    <row r="25" spans="3:11" ht="25">
      <c r="C25" s="90">
        <v>7</v>
      </c>
      <c r="D25" s="176">
        <f>Pharma!E49</f>
        <v>43000</v>
      </c>
      <c r="E25" s="91">
        <f>Pharma!F49</f>
        <v>209807.03695000004</v>
      </c>
      <c r="F25" s="91">
        <f>Pharma!G49</f>
        <v>138733.7113</v>
      </c>
      <c r="G25" s="91">
        <f>Pharma!H49</f>
        <v>261797.62710000001</v>
      </c>
      <c r="H25" s="91">
        <f>Pharma!I49</f>
        <v>35472.475697434609</v>
      </c>
      <c r="I25" s="92">
        <f>Pharma!J49</f>
        <v>18452.592970337999</v>
      </c>
      <c r="J25" s="92">
        <f>Pharma!K49</f>
        <v>191354.44397966203</v>
      </c>
      <c r="K25" s="92">
        <f>Pharma!L49</f>
        <v>228259.62992033805</v>
      </c>
    </row>
    <row r="28" spans="3:11">
      <c r="C28" s="11"/>
      <c r="D28" s="11"/>
      <c r="E28" s="11"/>
      <c r="F28" s="11"/>
      <c r="G28" s="11"/>
      <c r="H28" s="11"/>
      <c r="I28" s="11"/>
      <c r="J28" s="11"/>
      <c r="K28" s="11"/>
    </row>
    <row r="31" spans="3:11" ht="15" customHeight="1"/>
    <row r="32" spans="3:11" ht="15" customHeight="1"/>
    <row r="35" spans="3:11" ht="15" customHeight="1"/>
    <row r="36" spans="3:11" ht="15" customHeight="1"/>
    <row r="37" spans="3:11">
      <c r="C37" s="229" t="s">
        <v>82</v>
      </c>
      <c r="D37" s="230"/>
      <c r="E37" s="230"/>
      <c r="F37" s="230"/>
      <c r="G37" s="230"/>
      <c r="H37" s="230"/>
      <c r="I37" s="230"/>
      <c r="J37" s="230"/>
      <c r="K37" s="231"/>
    </row>
    <row r="38" spans="3:11">
      <c r="C38" s="232"/>
      <c r="D38" s="233"/>
      <c r="E38" s="233"/>
      <c r="F38" s="233"/>
      <c r="G38" s="233"/>
      <c r="H38" s="233"/>
      <c r="I38" s="233"/>
      <c r="J38" s="233"/>
      <c r="K38" s="234"/>
    </row>
    <row r="39" spans="3:11">
      <c r="C39" s="235"/>
      <c r="D39" s="236"/>
      <c r="E39" s="236"/>
      <c r="F39" s="236"/>
      <c r="G39" s="236"/>
      <c r="H39" s="236"/>
      <c r="I39" s="236"/>
      <c r="J39" s="236"/>
      <c r="K39" s="237"/>
    </row>
    <row r="41" spans="3:11">
      <c r="C41" s="228"/>
      <c r="D41" s="228"/>
      <c r="E41" s="228"/>
      <c r="F41" s="228"/>
      <c r="G41" s="228"/>
      <c r="H41" s="228"/>
      <c r="I41" s="228"/>
      <c r="J41" s="228"/>
      <c r="K41" s="228"/>
    </row>
    <row r="42" spans="3:11">
      <c r="C42" s="228"/>
      <c r="D42" s="228"/>
      <c r="E42" s="228"/>
      <c r="F42" s="228"/>
      <c r="G42" s="228"/>
      <c r="H42" s="228"/>
      <c r="I42" s="228"/>
      <c r="J42" s="228"/>
      <c r="K42" s="228"/>
    </row>
    <row r="44" spans="3:11">
      <c r="C44" s="9"/>
      <c r="D44" s="9"/>
      <c r="E44" s="9"/>
      <c r="F44" s="9"/>
      <c r="G44" s="9"/>
      <c r="H44" s="9"/>
      <c r="I44" s="9"/>
      <c r="J44" s="9"/>
      <c r="K44" s="9"/>
    </row>
    <row r="45" spans="3:11">
      <c r="C45" s="9"/>
      <c r="D45" s="9"/>
      <c r="E45" s="9"/>
      <c r="F45" s="9"/>
      <c r="G45" s="9"/>
      <c r="H45" s="9"/>
      <c r="I45" s="9"/>
      <c r="J45" s="9"/>
      <c r="K45" s="9"/>
    </row>
    <row r="49" spans="8:8">
      <c r="H49" s="10"/>
    </row>
  </sheetData>
  <mergeCells count="14">
    <mergeCell ref="B4:L7"/>
    <mergeCell ref="D9:K13"/>
    <mergeCell ref="K17:K18"/>
    <mergeCell ref="C41:K42"/>
    <mergeCell ref="C37:K39"/>
    <mergeCell ref="A16:I16"/>
    <mergeCell ref="C17:C18"/>
    <mergeCell ref="D17:D18"/>
    <mergeCell ref="E17:E18"/>
    <mergeCell ref="F17:F18"/>
    <mergeCell ref="G17:G18"/>
    <mergeCell ref="H17:H18"/>
    <mergeCell ref="I17:I18"/>
    <mergeCell ref="J17:J18"/>
  </mergeCells>
  <conditionalFormatting sqref="G46">
    <cfRule type="top10" dxfId="1" priority="2" rank="1"/>
  </conditionalFormatting>
  <conditionalFormatting sqref="E19:E25">
    <cfRule type="top10" dxfId="0" priority="1" rank="1"/>
  </conditionalFormatting>
  <pageMargins left="0.5" right="0.5" top="0.5" bottom="0.5" header="0.3" footer="0.3"/>
  <pageSetup scale="33" fitToHeight="0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ReturnIntroduction">
                <anchor moveWithCells="1" sizeWithCells="1">
                  <from>
                    <xdr:col>5</xdr:col>
                    <xdr:colOff>2222500</xdr:colOff>
                    <xdr:row>95</xdr:row>
                    <xdr:rowOff>63500</xdr:rowOff>
                  </from>
                  <to>
                    <xdr:col>7</xdr:col>
                    <xdr:colOff>330200</xdr:colOff>
                    <xdr:row>99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SummarizeResults">
                <anchor moveWithCells="1" sizeWithCells="1">
                  <from>
                    <xdr:col>3</xdr:col>
                    <xdr:colOff>2527300</xdr:colOff>
                    <xdr:row>29</xdr:row>
                    <xdr:rowOff>139700</xdr:rowOff>
                  </from>
                  <to>
                    <xdr:col>4</xdr:col>
                    <xdr:colOff>2527300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NPVVisuals">
                <anchor moveWithCells="1" sizeWithCells="1">
                  <from>
                    <xdr:col>5</xdr:col>
                    <xdr:colOff>2514600</xdr:colOff>
                    <xdr:row>29</xdr:row>
                    <xdr:rowOff>101600</xdr:rowOff>
                  </from>
                  <to>
                    <xdr:col>6</xdr:col>
                    <xdr:colOff>2997200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Button 5">
              <controlPr defaultSize="0" print="0" autoFill="0" autoPict="0" macro="[0]!Export">
                <anchor moveWithCells="1" sizeWithCells="1">
                  <from>
                    <xdr:col>3</xdr:col>
                    <xdr:colOff>1727200</xdr:colOff>
                    <xdr:row>95</xdr:row>
                    <xdr:rowOff>101600</xdr:rowOff>
                  </from>
                  <to>
                    <xdr:col>4</xdr:col>
                    <xdr:colOff>2819400</xdr:colOff>
                    <xdr:row>99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Button 7">
              <controlPr defaultSize="0" print="0" autoFill="0" autoPict="0" macro="[0]!AllMetricVisuals">
                <anchor moveWithCells="1" sizeWithCells="1">
                  <from>
                    <xdr:col>7</xdr:col>
                    <xdr:colOff>2413000</xdr:colOff>
                    <xdr:row>29</xdr:row>
                    <xdr:rowOff>127000</xdr:rowOff>
                  </from>
                  <to>
                    <xdr:col>9</xdr:col>
                    <xdr:colOff>431800</xdr:colOff>
                    <xdr:row>33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Button 8">
              <controlPr defaultSize="0" print="0" autoFill="0" autoPict="0" macro="[0]!ExitModel">
                <anchor moveWithCells="1" sizeWithCells="1">
                  <from>
                    <xdr:col>7</xdr:col>
                    <xdr:colOff>2552700</xdr:colOff>
                    <xdr:row>95</xdr:row>
                    <xdr:rowOff>76200</xdr:rowOff>
                  </from>
                  <to>
                    <xdr:col>9</xdr:col>
                    <xdr:colOff>647700</xdr:colOff>
                    <xdr:row>99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Report</vt:lpstr>
      <vt:lpstr>Introduction</vt:lpstr>
      <vt:lpstr>Inputs</vt:lpstr>
      <vt:lpstr>Pharma</vt:lpstr>
      <vt:lpstr>Outputs</vt:lpstr>
      <vt:lpstr>Outputs!Print_Area</vt:lpstr>
    </vt:vector>
  </TitlesOfParts>
  <Company>Kelley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Nayab Mumtaz</cp:lastModifiedBy>
  <cp:lastPrinted>2024-12-04T21:31:02Z</cp:lastPrinted>
  <dcterms:created xsi:type="dcterms:W3CDTF">1998-12-23T23:07:28Z</dcterms:created>
  <dcterms:modified xsi:type="dcterms:W3CDTF">2024-12-04T21:32:50Z</dcterms:modified>
</cp:coreProperties>
</file>